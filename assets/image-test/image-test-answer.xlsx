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14520" windowHeight="12630"/>
  </bookViews>
  <sheets>
    <sheet name="料單" sheetId="6" r:id="rId1"/>
    <sheet name="weight" sheetId="2" r:id="rId2"/>
  </sheets>
  <definedNames>
    <definedName name="_10">weight!$E$4</definedName>
    <definedName name="_11">weight!$E$5</definedName>
    <definedName name="_12">weight!$E$6</definedName>
    <definedName name="_2">weight!$E$7</definedName>
    <definedName name="_3">weight!$E$8</definedName>
    <definedName name="_4">weight!$E$9</definedName>
    <definedName name="_5">weight!$E$10</definedName>
    <definedName name="_6">weight!$E$11</definedName>
    <definedName name="_7">weight!$E$12</definedName>
    <definedName name="_8">weight!$E$13</definedName>
    <definedName name="_9">weight!$E$14</definedName>
    <definedName name="_xlnm.Print_Area" localSheetId="0">料單!$A$1:$R$16</definedName>
    <definedName name="_xlnm.Print_Titles" localSheetId="0">料單!$1:$3</definedName>
    <definedName name="rebar" localSheetId="1">weight!$D$1:$E$100</definedName>
    <definedName name="rebar">weight!$D$1:$E$100</definedName>
    <definedName name="weight">weight!$D$1:$E$100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5" i="6" l="1"/>
  <c r="N15" i="6"/>
  <c r="N14" i="6"/>
  <c r="N11" i="6"/>
  <c r="N12" i="6" l="1"/>
  <c r="N8" i="6"/>
  <c r="N6" i="6"/>
  <c r="N5" i="6"/>
  <c r="N4" i="6" l="1"/>
  <c r="N7" i="6"/>
  <c r="N9" i="6"/>
  <c r="N10" i="6"/>
  <c r="N16" i="6" l="1"/>
</calcChain>
</file>

<file path=xl/sharedStrings.xml><?xml version="1.0" encoding="utf-8"?>
<sst xmlns="http://schemas.openxmlformats.org/spreadsheetml/2006/main" count="36" uniqueCount="28">
  <si>
    <t>#10</t>
    <phoneticPr fontId="1" type="noConversion"/>
  </si>
  <si>
    <t>#11</t>
    <phoneticPr fontId="1" type="noConversion"/>
  </si>
  <si>
    <t>#12</t>
    <phoneticPr fontId="1" type="noConversion"/>
  </si>
  <si>
    <t>#2</t>
    <phoneticPr fontId="1" type="noConversion"/>
  </si>
  <si>
    <t>#3</t>
    <phoneticPr fontId="1" type="noConversion"/>
  </si>
  <si>
    <t>#4</t>
    <phoneticPr fontId="1" type="noConversion"/>
  </si>
  <si>
    <t>#5</t>
    <phoneticPr fontId="1" type="noConversion"/>
  </si>
  <si>
    <t>#6</t>
    <phoneticPr fontId="1" type="noConversion"/>
  </si>
  <si>
    <t>#7</t>
    <phoneticPr fontId="1" type="noConversion"/>
  </si>
  <si>
    <t>#8</t>
    <phoneticPr fontId="1" type="noConversion"/>
  </si>
  <si>
    <t>#9</t>
    <phoneticPr fontId="1" type="noConversion"/>
  </si>
  <si>
    <t>鋼筋料單</t>
    <phoneticPr fontId="4" type="noConversion"/>
  </si>
  <si>
    <t>工程名稱：</t>
    <phoneticPr fontId="4" type="noConversion"/>
  </si>
  <si>
    <t>結構位置：</t>
    <phoneticPr fontId="4" type="noConversion"/>
  </si>
  <si>
    <t>編號</t>
  </si>
  <si>
    <t>號數</t>
  </si>
  <si>
    <t>圖示</t>
  </si>
  <si>
    <t>長度(cm)</t>
    <phoneticPr fontId="4" type="noConversion"/>
  </si>
  <si>
    <t>數量</t>
    <phoneticPr fontId="4" type="noConversion"/>
  </si>
  <si>
    <t>重量(kg)</t>
    <phoneticPr fontId="4" type="noConversion"/>
  </si>
  <si>
    <t>備註</t>
    <phoneticPr fontId="4" type="noConversion"/>
  </si>
  <si>
    <t>總計</t>
  </si>
  <si>
    <t>合計</t>
  </si>
  <si>
    <t>讀取CAD文字</t>
    <phoneticPr fontId="1" type="noConversion"/>
  </si>
  <si>
    <t>#4</t>
    <phoneticPr fontId="1" type="noConversion"/>
  </si>
  <si>
    <t>#8</t>
    <phoneticPr fontId="1" type="noConversion"/>
  </si>
  <si>
    <t>#8</t>
    <phoneticPr fontId="1" type="noConversion"/>
  </si>
  <si>
    <t>#4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</si>
</sst>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;[Red]\-0\ "/>
  </numFmts>
  <fonts count="13">
    <font>
      <sz val="10"/>
      <name val="Arial"/>
      <family val="2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2"/>
      <name val="微軟正黑體"/>
      <family val="2"/>
      <charset val="136"/>
    </font>
    <font>
      <sz val="9"/>
      <name val="新細明體"/>
      <family val="1"/>
      <charset val="136"/>
    </font>
    <font>
      <b/>
      <sz val="16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name val="細明體"/>
      <family val="3"/>
      <charset val="136"/>
    </font>
    <font>
      <b/>
      <sz val="22"/>
      <name val="微軟正黑體"/>
      <family val="2"/>
      <charset val="136"/>
    </font>
    <font>
      <sz val="14"/>
      <name val="Arial"/>
      <family val="2"/>
    </font>
    <font>
      <sz val="14"/>
      <name val="新細明體"/>
      <family val="1"/>
      <charset val="136"/>
    </font>
    <font>
      <b/>
      <sz val="14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32">
    <xf numFmtId="0" fontId="0" fillId="0" borderId="0" xfId="0"/>
    <xf numFmtId="0" fontId="5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7" fillId="0" borderId="0" xfId="1" applyFont="1" applyAlignment="1">
      <alignment horizontal="right" vertical="center"/>
    </xf>
    <xf numFmtId="0" fontId="7" fillId="0" borderId="0" xfId="1" applyFont="1" applyAlignment="1">
      <alignment vertical="center"/>
    </xf>
    <xf numFmtId="0" fontId="7" fillId="0" borderId="0" xfId="1" applyFont="1">
      <alignment vertical="center"/>
    </xf>
    <xf numFmtId="0" fontId="3" fillId="0" borderId="1" xfId="1" applyFont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right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Fill="1">
      <alignment vertical="center"/>
    </xf>
    <xf numFmtId="0" fontId="7" fillId="0" borderId="1" xfId="1" applyFont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 shrinkToFit="1"/>
    </xf>
    <xf numFmtId="0" fontId="7" fillId="0" borderId="1" xfId="1" applyFont="1" applyFill="1" applyBorder="1" applyAlignment="1">
      <alignment horizontal="center" vertical="center"/>
    </xf>
    <xf numFmtId="0" fontId="11" fillId="0" borderId="1" xfId="1" applyFont="1" applyFill="1" applyBorder="1" applyAlignment="1"/>
    <xf numFmtId="0" fontId="7" fillId="0" borderId="1" xfId="1" applyFont="1" applyBorder="1" applyAlignment="1">
      <alignment vertical="center"/>
    </xf>
    <xf numFmtId="0" fontId="7" fillId="0" borderId="1" xfId="1" applyFont="1" applyBorder="1" applyAlignment="1">
      <alignment horizontal="right" vertical="center"/>
    </xf>
    <xf numFmtId="0" fontId="7" fillId="0" borderId="0" xfId="1" applyFont="1" applyBorder="1" applyAlignment="1">
      <alignment vertical="center"/>
    </xf>
    <xf numFmtId="0" fontId="2" fillId="0" borderId="0" xfId="1" applyBorder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6" fillId="0" borderId="1" xfId="1" applyFont="1" applyFill="1" applyBorder="1">
      <alignment vertical="center"/>
    </xf>
    <xf numFmtId="176" fontId="7" fillId="0" borderId="1" xfId="1" applyNumberFormat="1" applyFont="1" applyFill="1" applyBorder="1" applyAlignment="1">
      <alignment horizontal="right" vertical="center"/>
    </xf>
    <xf numFmtId="176" fontId="7" fillId="0" borderId="1" xfId="1" applyNumberFormat="1" applyFont="1" applyBorder="1" applyAlignment="1">
      <alignment horizontal="right" vertical="center"/>
    </xf>
    <xf numFmtId="176" fontId="12" fillId="0" borderId="1" xfId="1" applyNumberFormat="1" applyFont="1" applyBorder="1" applyAlignment="1">
      <alignment horizontal="right" vertical="center"/>
    </xf>
    <xf numFmtId="176" fontId="6" fillId="0" borderId="0" xfId="1" applyNumberFormat="1" applyFont="1">
      <alignment vertical="center"/>
    </xf>
    <xf numFmtId="0" fontId="3" fillId="0" borderId="0" xfId="1" applyFont="1" applyAlignment="1">
      <alignment horizontal="left" vertical="center"/>
    </xf>
    <xf numFmtId="0" fontId="7" fillId="0" borderId="1" xfId="1" applyFont="1" applyFill="1" applyBorder="1" applyAlignment="1">
      <alignment vertical="center"/>
    </xf>
    <xf numFmtId="0" fontId="6" fillId="0" borderId="1" xfId="1" applyFont="1" applyFill="1" applyBorder="1" applyAlignment="1">
      <alignment horizontal="right" vertical="center"/>
    </xf>
    <xf numFmtId="0" fontId="7" fillId="0" borderId="1" xfId="1" applyFont="1" applyFill="1" applyBorder="1" applyAlignment="1">
      <alignment horizontal="right" vertical="center"/>
    </xf>
    <xf numFmtId="0" fontId="9" fillId="0" borderId="0" xfId="1" applyFont="1" applyAlignment="1">
      <alignment horizontal="center" vertical="center"/>
    </xf>
    <xf numFmtId="0" fontId="7" fillId="0" borderId="0" xfId="1" applyFont="1" applyBorder="1" applyAlignment="1">
      <alignment horizontal="left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0</xdr:rowOff>
    </xdr:from>
    <xdr:to>
      <xdr:col>2</xdr:col>
      <xdr:colOff>0</xdr:colOff>
      <xdr:row>9</xdr:row>
      <xdr:rowOff>175111</xdr:rowOff>
    </xdr:to>
    <xdr:cxnSp macro="">
      <xdr:nvCxnSpPr>
        <xdr:cNvPr id="29" name="直線接點 28"/>
        <xdr:cNvCxnSpPr/>
      </xdr:nvCxnSpPr>
      <xdr:spPr>
        <a:xfrm flipV="1">
          <a:off x="1143000" y="1245220"/>
          <a:ext cx="0" cy="175111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175111</xdr:rowOff>
    </xdr:to>
    <xdr:cxnSp macro="">
      <xdr:nvCxnSpPr>
        <xdr:cNvPr id="58" name="直線接點 57"/>
        <xdr:cNvCxnSpPr/>
      </xdr:nvCxnSpPr>
      <xdr:spPr>
        <a:xfrm flipV="1">
          <a:off x="1143000" y="3438525"/>
          <a:ext cx="0" cy="175111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481648</xdr:colOff>
      <xdr:row>3</xdr:row>
      <xdr:rowOff>80011</xdr:rowOff>
    </xdr:from>
    <xdr:to>
      <xdr:col>9</xdr:col>
      <xdr:colOff>481648</xdr:colOff>
      <xdr:row>3</xdr:row>
      <xdr:rowOff>181611</xdr:rowOff>
    </xdr:to>
    <xdr:cxnSp macro="">
      <xdr:nvCxnSpPr>
        <xdr:cNvPr id="37" name="直線接點 36"/>
        <xdr:cNvCxnSpPr/>
      </xdr:nvCxnSpPr>
      <xdr:spPr>
        <a:xfrm flipV="1">
          <a:off x="1567498" y="41266111"/>
          <a:ext cx="0" cy="101600"/>
        </a:xfrm>
        <a:prstGeom prst="line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380048</xdr:colOff>
      <xdr:row>3</xdr:row>
      <xdr:rowOff>29211</xdr:rowOff>
    </xdr:from>
    <xdr:to>
      <xdr:col>9</xdr:col>
      <xdr:colOff>481648</xdr:colOff>
      <xdr:row>3</xdr:row>
      <xdr:rowOff>130811</xdr:rowOff>
    </xdr:to>
    <xdr:sp macro="" textlink="">
      <xdr:nvSpPr>
        <xdr:cNvPr id="38" name="弧形 37"/>
        <xdr:cNvSpPr/>
      </xdr:nvSpPr>
      <xdr:spPr>
        <a:xfrm>
          <a:off x="1465898" y="41215311"/>
          <a:ext cx="101600" cy="101600"/>
        </a:xfrm>
        <a:prstGeom prst="arc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380048</xdr:colOff>
      <xdr:row>3</xdr:row>
      <xdr:rowOff>29211</xdr:rowOff>
    </xdr:from>
    <xdr:to>
      <xdr:col>9</xdr:col>
      <xdr:colOff>481648</xdr:colOff>
      <xdr:row>3</xdr:row>
      <xdr:rowOff>130811</xdr:rowOff>
    </xdr:to>
    <xdr:sp macro="" textlink="">
      <xdr:nvSpPr>
        <xdr:cNvPr id="39" name="弧形 38"/>
        <xdr:cNvSpPr/>
      </xdr:nvSpPr>
      <xdr:spPr>
        <a:xfrm flipH="1">
          <a:off x="1465898" y="41215311"/>
          <a:ext cx="101600" cy="101600"/>
        </a:xfrm>
        <a:prstGeom prst="arc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380048</xdr:colOff>
      <xdr:row>3</xdr:row>
      <xdr:rowOff>80011</xdr:rowOff>
    </xdr:from>
    <xdr:to>
      <xdr:col>9</xdr:col>
      <xdr:colOff>380048</xdr:colOff>
      <xdr:row>3</xdr:row>
      <xdr:rowOff>360046</xdr:rowOff>
    </xdr:to>
    <xdr:cxnSp macro="">
      <xdr:nvCxnSpPr>
        <xdr:cNvPr id="40" name="直線接點 39"/>
        <xdr:cNvCxnSpPr/>
      </xdr:nvCxnSpPr>
      <xdr:spPr>
        <a:xfrm>
          <a:off x="1465898" y="41266111"/>
          <a:ext cx="0" cy="280035"/>
        </a:xfrm>
        <a:prstGeom prst="line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380048</xdr:colOff>
      <xdr:row>3</xdr:row>
      <xdr:rowOff>360046</xdr:rowOff>
    </xdr:from>
    <xdr:to>
      <xdr:col>9</xdr:col>
      <xdr:colOff>886777</xdr:colOff>
      <xdr:row>3</xdr:row>
      <xdr:rowOff>360046</xdr:rowOff>
    </xdr:to>
    <xdr:cxnSp macro="">
      <xdr:nvCxnSpPr>
        <xdr:cNvPr id="41" name="直線接點 40"/>
        <xdr:cNvCxnSpPr/>
      </xdr:nvCxnSpPr>
      <xdr:spPr>
        <a:xfrm>
          <a:off x="1465898" y="41546146"/>
          <a:ext cx="506729" cy="0"/>
        </a:xfrm>
        <a:prstGeom prst="line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886777</xdr:colOff>
      <xdr:row>3</xdr:row>
      <xdr:rowOff>80011</xdr:rowOff>
    </xdr:from>
    <xdr:to>
      <xdr:col>9</xdr:col>
      <xdr:colOff>886777</xdr:colOff>
      <xdr:row>3</xdr:row>
      <xdr:rowOff>360046</xdr:rowOff>
    </xdr:to>
    <xdr:cxnSp macro="">
      <xdr:nvCxnSpPr>
        <xdr:cNvPr id="63" name="直線接點 62"/>
        <xdr:cNvCxnSpPr/>
      </xdr:nvCxnSpPr>
      <xdr:spPr>
        <a:xfrm flipV="1">
          <a:off x="1972627" y="41266111"/>
          <a:ext cx="0" cy="280035"/>
        </a:xfrm>
        <a:prstGeom prst="line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785177</xdr:colOff>
      <xdr:row>3</xdr:row>
      <xdr:rowOff>29211</xdr:rowOff>
    </xdr:from>
    <xdr:to>
      <xdr:col>9</xdr:col>
      <xdr:colOff>886777</xdr:colOff>
      <xdr:row>3</xdr:row>
      <xdr:rowOff>130811</xdr:rowOff>
    </xdr:to>
    <xdr:sp macro="" textlink="">
      <xdr:nvSpPr>
        <xdr:cNvPr id="64" name="弧形 63"/>
        <xdr:cNvSpPr/>
      </xdr:nvSpPr>
      <xdr:spPr>
        <a:xfrm>
          <a:off x="1871027" y="41215311"/>
          <a:ext cx="101600" cy="101600"/>
        </a:xfrm>
        <a:prstGeom prst="arc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785177</xdr:colOff>
      <xdr:row>3</xdr:row>
      <xdr:rowOff>29211</xdr:rowOff>
    </xdr:from>
    <xdr:to>
      <xdr:col>9</xdr:col>
      <xdr:colOff>886777</xdr:colOff>
      <xdr:row>3</xdr:row>
      <xdr:rowOff>130811</xdr:rowOff>
    </xdr:to>
    <xdr:sp macro="" textlink="">
      <xdr:nvSpPr>
        <xdr:cNvPr id="65" name="弧形 64"/>
        <xdr:cNvSpPr/>
      </xdr:nvSpPr>
      <xdr:spPr>
        <a:xfrm flipH="1">
          <a:off x="1871027" y="41215311"/>
          <a:ext cx="101600" cy="101600"/>
        </a:xfrm>
        <a:prstGeom prst="arc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785177</xdr:colOff>
      <xdr:row>3</xdr:row>
      <xdr:rowOff>80011</xdr:rowOff>
    </xdr:from>
    <xdr:to>
      <xdr:col>9</xdr:col>
      <xdr:colOff>785177</xdr:colOff>
      <xdr:row>3</xdr:row>
      <xdr:rowOff>181611</xdr:rowOff>
    </xdr:to>
    <xdr:cxnSp macro="">
      <xdr:nvCxnSpPr>
        <xdr:cNvPr id="66" name="直線接點 65"/>
        <xdr:cNvCxnSpPr/>
      </xdr:nvCxnSpPr>
      <xdr:spPr>
        <a:xfrm>
          <a:off x="1871027" y="41266111"/>
          <a:ext cx="0" cy="101600"/>
        </a:xfrm>
        <a:prstGeom prst="line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542781</xdr:colOff>
      <xdr:row>3</xdr:row>
      <xdr:rowOff>29211</xdr:rowOff>
    </xdr:from>
    <xdr:to>
      <xdr:col>9</xdr:col>
      <xdr:colOff>724044</xdr:colOff>
      <xdr:row>3</xdr:row>
      <xdr:rowOff>195071</xdr:rowOff>
    </xdr:to>
    <xdr:sp macro="" textlink="">
      <xdr:nvSpPr>
        <xdr:cNvPr id="67" name="文字方塊 66"/>
        <xdr:cNvSpPr txBox="1"/>
      </xdr:nvSpPr>
      <xdr:spPr>
        <a:xfrm>
          <a:off x="1628631" y="41215311"/>
          <a:ext cx="181263" cy="1658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36000" bIns="7200" rtlCol="0" anchor="t">
          <a:spAutoFit/>
        </a:bodyPr>
        <a:lstStyle/>
        <a:p>
          <a:r>
            <a:rPr lang="en-US" altLang="zh-TW" sz="1200" b="1">
              <a:latin typeface="新細明體"/>
              <a:ea typeface="新細明體"/>
            </a:rPr>
            <a:t>12</a:t>
          </a:r>
          <a:endParaRPr lang="zh-TW" altLang="en-US" sz="1200" b="1">
            <a:latin typeface="新細明體"/>
            <a:ea typeface="新細明體"/>
          </a:endParaRPr>
        </a:p>
      </xdr:txBody>
    </xdr:sp>
    <xdr:clientData/>
  </xdr:twoCellAnchor>
  <xdr:twoCellAnchor>
    <xdr:from>
      <xdr:col>9</xdr:col>
      <xdr:colOff>542781</xdr:colOff>
      <xdr:row>3</xdr:row>
      <xdr:rowOff>186565</xdr:rowOff>
    </xdr:from>
    <xdr:to>
      <xdr:col>9</xdr:col>
      <xdr:colOff>724044</xdr:colOff>
      <xdr:row>3</xdr:row>
      <xdr:rowOff>352425</xdr:rowOff>
    </xdr:to>
    <xdr:sp macro="" textlink="">
      <xdr:nvSpPr>
        <xdr:cNvPr id="68" name="文字方塊 67"/>
        <xdr:cNvSpPr txBox="1"/>
      </xdr:nvSpPr>
      <xdr:spPr>
        <a:xfrm>
          <a:off x="1628631" y="41372665"/>
          <a:ext cx="181263" cy="1658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36000" bIns="7200" rtlCol="0" anchor="t">
          <a:spAutoFit/>
        </a:bodyPr>
        <a:lstStyle/>
        <a:p>
          <a:r>
            <a:rPr lang="en-US" altLang="zh-TW" sz="1200" b="1">
              <a:latin typeface="新細明體"/>
              <a:ea typeface="新細明體"/>
            </a:rPr>
            <a:t>50</a:t>
          </a:r>
          <a:endParaRPr lang="zh-TW" altLang="en-US" sz="1200" b="1">
            <a:latin typeface="新細明體"/>
            <a:ea typeface="新細明體"/>
          </a:endParaRPr>
        </a:p>
      </xdr:txBody>
    </xdr:sp>
    <xdr:clientData/>
  </xdr:twoCellAnchor>
  <xdr:twoCellAnchor>
    <xdr:from>
      <xdr:col>9</xdr:col>
      <xdr:colOff>909638</xdr:colOff>
      <xdr:row>3</xdr:row>
      <xdr:rowOff>186565</xdr:rowOff>
    </xdr:from>
    <xdr:to>
      <xdr:col>9</xdr:col>
      <xdr:colOff>1090901</xdr:colOff>
      <xdr:row>3</xdr:row>
      <xdr:rowOff>393890</xdr:rowOff>
    </xdr:to>
    <xdr:sp macro="" textlink="">
      <xdr:nvSpPr>
        <xdr:cNvPr id="69" name="文字方塊 68"/>
        <xdr:cNvSpPr txBox="1"/>
      </xdr:nvSpPr>
      <xdr:spPr>
        <a:xfrm>
          <a:off x="1995488" y="996190"/>
          <a:ext cx="181263" cy="20732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36000" bIns="7200" rtlCol="0" anchor="t">
          <a:spAutoFit/>
        </a:bodyPr>
        <a:lstStyle/>
        <a:p>
          <a:r>
            <a:rPr lang="en-US" altLang="zh-TW" sz="1200" b="1">
              <a:latin typeface="新細明體"/>
              <a:ea typeface="新細明體"/>
            </a:rPr>
            <a:t>70</a:t>
          </a:r>
          <a:endParaRPr lang="zh-TW" altLang="en-US" sz="1200" b="1">
            <a:latin typeface="新細明體"/>
            <a:ea typeface="新細明體"/>
          </a:endParaRPr>
        </a:p>
      </xdr:txBody>
    </xdr:sp>
    <xdr:clientData/>
  </xdr:twoCellAnchor>
  <xdr:twoCellAnchor>
    <xdr:from>
      <xdr:col>9</xdr:col>
      <xdr:colOff>81262</xdr:colOff>
      <xdr:row>3</xdr:row>
      <xdr:rowOff>29211</xdr:rowOff>
    </xdr:from>
    <xdr:to>
      <xdr:col>9</xdr:col>
      <xdr:colOff>372427</xdr:colOff>
      <xdr:row>3</xdr:row>
      <xdr:rowOff>195071</xdr:rowOff>
    </xdr:to>
    <xdr:sp macro="" textlink="">
      <xdr:nvSpPr>
        <xdr:cNvPr id="70" name="文字方塊 69"/>
        <xdr:cNvSpPr txBox="1"/>
      </xdr:nvSpPr>
      <xdr:spPr>
        <a:xfrm>
          <a:off x="1167112" y="41215311"/>
          <a:ext cx="291165" cy="1658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36000" bIns="7200" rtlCol="0" anchor="t">
          <a:spAutoFit/>
        </a:bodyPr>
        <a:lstStyle/>
        <a:p>
          <a:r>
            <a:rPr lang="en-US" altLang="zh-TW" sz="1200" b="1">
              <a:latin typeface="新細明體"/>
              <a:ea typeface="新細明體"/>
            </a:rPr>
            <a:t>180°</a:t>
          </a:r>
          <a:endParaRPr lang="zh-TW" altLang="en-US" sz="1200" b="1">
            <a:latin typeface="新細明體"/>
            <a:ea typeface="新細明體"/>
          </a:endParaRPr>
        </a:p>
      </xdr:txBody>
    </xdr:sp>
    <xdr:clientData/>
  </xdr:twoCellAnchor>
  <xdr:twoCellAnchor>
    <xdr:from>
      <xdr:col>9</xdr:col>
      <xdr:colOff>909638</xdr:colOff>
      <xdr:row>3</xdr:row>
      <xdr:rowOff>29211</xdr:rowOff>
    </xdr:from>
    <xdr:to>
      <xdr:col>9</xdr:col>
      <xdr:colOff>1200803</xdr:colOff>
      <xdr:row>3</xdr:row>
      <xdr:rowOff>195071</xdr:rowOff>
    </xdr:to>
    <xdr:sp macro="" textlink="">
      <xdr:nvSpPr>
        <xdr:cNvPr id="71" name="文字方塊 70"/>
        <xdr:cNvSpPr txBox="1"/>
      </xdr:nvSpPr>
      <xdr:spPr>
        <a:xfrm>
          <a:off x="1995488" y="41215311"/>
          <a:ext cx="291165" cy="1658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36000" bIns="7200" rtlCol="0" anchor="t">
          <a:spAutoFit/>
        </a:bodyPr>
        <a:lstStyle/>
        <a:p>
          <a:r>
            <a:rPr lang="en-US" altLang="zh-TW" sz="1200" b="1">
              <a:latin typeface="新細明體"/>
              <a:ea typeface="新細明體"/>
            </a:rPr>
            <a:t>180°</a:t>
          </a:r>
          <a:endParaRPr lang="zh-TW" altLang="en-US" sz="1200" b="1">
            <a:latin typeface="新細明體"/>
            <a:ea typeface="新細明體"/>
          </a:endParaRPr>
        </a:p>
      </xdr:txBody>
    </xdr:sp>
    <xdr:clientData/>
  </xdr:twoCellAnchor>
  <xdr:twoCellAnchor>
    <xdr:from>
      <xdr:col>9</xdr:col>
      <xdr:colOff>481648</xdr:colOff>
      <xdr:row>4</xdr:row>
      <xdr:rowOff>80011</xdr:rowOff>
    </xdr:from>
    <xdr:to>
      <xdr:col>9</xdr:col>
      <xdr:colOff>481648</xdr:colOff>
      <xdr:row>4</xdr:row>
      <xdr:rowOff>181611</xdr:rowOff>
    </xdr:to>
    <xdr:cxnSp macro="">
      <xdr:nvCxnSpPr>
        <xdr:cNvPr id="72" name="直線接點 71"/>
        <xdr:cNvCxnSpPr/>
      </xdr:nvCxnSpPr>
      <xdr:spPr>
        <a:xfrm flipV="1">
          <a:off x="1567498" y="41266111"/>
          <a:ext cx="0" cy="101600"/>
        </a:xfrm>
        <a:prstGeom prst="line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380048</xdr:colOff>
      <xdr:row>4</xdr:row>
      <xdr:rowOff>29211</xdr:rowOff>
    </xdr:from>
    <xdr:to>
      <xdr:col>9</xdr:col>
      <xdr:colOff>481648</xdr:colOff>
      <xdr:row>4</xdr:row>
      <xdr:rowOff>130811</xdr:rowOff>
    </xdr:to>
    <xdr:sp macro="" textlink="">
      <xdr:nvSpPr>
        <xdr:cNvPr id="73" name="弧形 72"/>
        <xdr:cNvSpPr/>
      </xdr:nvSpPr>
      <xdr:spPr>
        <a:xfrm>
          <a:off x="1465898" y="41215311"/>
          <a:ext cx="101600" cy="101600"/>
        </a:xfrm>
        <a:prstGeom prst="arc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380048</xdr:colOff>
      <xdr:row>4</xdr:row>
      <xdr:rowOff>29211</xdr:rowOff>
    </xdr:from>
    <xdr:to>
      <xdr:col>9</xdr:col>
      <xdr:colOff>481648</xdr:colOff>
      <xdr:row>4</xdr:row>
      <xdr:rowOff>130811</xdr:rowOff>
    </xdr:to>
    <xdr:sp macro="" textlink="">
      <xdr:nvSpPr>
        <xdr:cNvPr id="74" name="弧形 73"/>
        <xdr:cNvSpPr/>
      </xdr:nvSpPr>
      <xdr:spPr>
        <a:xfrm flipH="1">
          <a:off x="1465898" y="41215311"/>
          <a:ext cx="101600" cy="101600"/>
        </a:xfrm>
        <a:prstGeom prst="arc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380048</xdr:colOff>
      <xdr:row>4</xdr:row>
      <xdr:rowOff>80011</xdr:rowOff>
    </xdr:from>
    <xdr:to>
      <xdr:col>9</xdr:col>
      <xdr:colOff>380048</xdr:colOff>
      <xdr:row>4</xdr:row>
      <xdr:rowOff>360046</xdr:rowOff>
    </xdr:to>
    <xdr:cxnSp macro="">
      <xdr:nvCxnSpPr>
        <xdr:cNvPr id="75" name="直線接點 74"/>
        <xdr:cNvCxnSpPr/>
      </xdr:nvCxnSpPr>
      <xdr:spPr>
        <a:xfrm>
          <a:off x="1465898" y="41266111"/>
          <a:ext cx="0" cy="280035"/>
        </a:xfrm>
        <a:prstGeom prst="line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380048</xdr:colOff>
      <xdr:row>4</xdr:row>
      <xdr:rowOff>360046</xdr:rowOff>
    </xdr:from>
    <xdr:to>
      <xdr:col>9</xdr:col>
      <xdr:colOff>886777</xdr:colOff>
      <xdr:row>4</xdr:row>
      <xdr:rowOff>360046</xdr:rowOff>
    </xdr:to>
    <xdr:cxnSp macro="">
      <xdr:nvCxnSpPr>
        <xdr:cNvPr id="76" name="直線接點 75"/>
        <xdr:cNvCxnSpPr/>
      </xdr:nvCxnSpPr>
      <xdr:spPr>
        <a:xfrm>
          <a:off x="1465898" y="41546146"/>
          <a:ext cx="506729" cy="0"/>
        </a:xfrm>
        <a:prstGeom prst="line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886777</xdr:colOff>
      <xdr:row>4</xdr:row>
      <xdr:rowOff>80011</xdr:rowOff>
    </xdr:from>
    <xdr:to>
      <xdr:col>9</xdr:col>
      <xdr:colOff>886777</xdr:colOff>
      <xdr:row>4</xdr:row>
      <xdr:rowOff>360046</xdr:rowOff>
    </xdr:to>
    <xdr:cxnSp macro="">
      <xdr:nvCxnSpPr>
        <xdr:cNvPr id="77" name="直線接點 76"/>
        <xdr:cNvCxnSpPr/>
      </xdr:nvCxnSpPr>
      <xdr:spPr>
        <a:xfrm flipV="1">
          <a:off x="1972627" y="41266111"/>
          <a:ext cx="0" cy="280035"/>
        </a:xfrm>
        <a:prstGeom prst="line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785177</xdr:colOff>
      <xdr:row>4</xdr:row>
      <xdr:rowOff>29211</xdr:rowOff>
    </xdr:from>
    <xdr:to>
      <xdr:col>9</xdr:col>
      <xdr:colOff>886777</xdr:colOff>
      <xdr:row>4</xdr:row>
      <xdr:rowOff>130811</xdr:rowOff>
    </xdr:to>
    <xdr:sp macro="" textlink="">
      <xdr:nvSpPr>
        <xdr:cNvPr id="78" name="弧形 77"/>
        <xdr:cNvSpPr/>
      </xdr:nvSpPr>
      <xdr:spPr>
        <a:xfrm>
          <a:off x="1871027" y="41215311"/>
          <a:ext cx="101600" cy="101600"/>
        </a:xfrm>
        <a:prstGeom prst="arc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785177</xdr:colOff>
      <xdr:row>4</xdr:row>
      <xdr:rowOff>29211</xdr:rowOff>
    </xdr:from>
    <xdr:to>
      <xdr:col>9</xdr:col>
      <xdr:colOff>886777</xdr:colOff>
      <xdr:row>4</xdr:row>
      <xdr:rowOff>130811</xdr:rowOff>
    </xdr:to>
    <xdr:sp macro="" textlink="">
      <xdr:nvSpPr>
        <xdr:cNvPr id="79" name="弧形 78"/>
        <xdr:cNvSpPr/>
      </xdr:nvSpPr>
      <xdr:spPr>
        <a:xfrm flipH="1">
          <a:off x="1871027" y="41215311"/>
          <a:ext cx="101600" cy="101600"/>
        </a:xfrm>
        <a:prstGeom prst="arc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785177</xdr:colOff>
      <xdr:row>4</xdr:row>
      <xdr:rowOff>80011</xdr:rowOff>
    </xdr:from>
    <xdr:to>
      <xdr:col>9</xdr:col>
      <xdr:colOff>785177</xdr:colOff>
      <xdr:row>4</xdr:row>
      <xdr:rowOff>181611</xdr:rowOff>
    </xdr:to>
    <xdr:cxnSp macro="">
      <xdr:nvCxnSpPr>
        <xdr:cNvPr id="80" name="直線接點 79"/>
        <xdr:cNvCxnSpPr/>
      </xdr:nvCxnSpPr>
      <xdr:spPr>
        <a:xfrm>
          <a:off x="1871027" y="41266111"/>
          <a:ext cx="0" cy="101600"/>
        </a:xfrm>
        <a:prstGeom prst="line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542781</xdr:colOff>
      <xdr:row>4</xdr:row>
      <xdr:rowOff>29211</xdr:rowOff>
    </xdr:from>
    <xdr:to>
      <xdr:col>9</xdr:col>
      <xdr:colOff>724044</xdr:colOff>
      <xdr:row>4</xdr:row>
      <xdr:rowOff>195071</xdr:rowOff>
    </xdr:to>
    <xdr:sp macro="" textlink="">
      <xdr:nvSpPr>
        <xdr:cNvPr id="81" name="文字方塊 80"/>
        <xdr:cNvSpPr txBox="1"/>
      </xdr:nvSpPr>
      <xdr:spPr>
        <a:xfrm>
          <a:off x="1628631" y="41215311"/>
          <a:ext cx="181263" cy="1658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36000" bIns="7200" rtlCol="0" anchor="t">
          <a:spAutoFit/>
        </a:bodyPr>
        <a:lstStyle/>
        <a:p>
          <a:r>
            <a:rPr lang="en-US" altLang="zh-TW" sz="1200" b="1">
              <a:latin typeface="新細明體"/>
              <a:ea typeface="新細明體"/>
            </a:rPr>
            <a:t>12</a:t>
          </a:r>
          <a:endParaRPr lang="zh-TW" altLang="en-US" sz="1200" b="1">
            <a:latin typeface="新細明體"/>
            <a:ea typeface="新細明體"/>
          </a:endParaRPr>
        </a:p>
      </xdr:txBody>
    </xdr:sp>
    <xdr:clientData/>
  </xdr:twoCellAnchor>
  <xdr:twoCellAnchor>
    <xdr:from>
      <xdr:col>9</xdr:col>
      <xdr:colOff>542781</xdr:colOff>
      <xdr:row>4</xdr:row>
      <xdr:rowOff>186565</xdr:rowOff>
    </xdr:from>
    <xdr:to>
      <xdr:col>9</xdr:col>
      <xdr:colOff>724044</xdr:colOff>
      <xdr:row>4</xdr:row>
      <xdr:rowOff>352425</xdr:rowOff>
    </xdr:to>
    <xdr:sp macro="" textlink="">
      <xdr:nvSpPr>
        <xdr:cNvPr id="82" name="文字方塊 81"/>
        <xdr:cNvSpPr txBox="1"/>
      </xdr:nvSpPr>
      <xdr:spPr>
        <a:xfrm>
          <a:off x="1628631" y="41372665"/>
          <a:ext cx="181263" cy="1658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36000" bIns="7200" rtlCol="0" anchor="t">
          <a:spAutoFit/>
        </a:bodyPr>
        <a:lstStyle/>
        <a:p>
          <a:r>
            <a:rPr lang="en-US" altLang="zh-TW" sz="1200" b="1">
              <a:latin typeface="新細明體"/>
              <a:ea typeface="新細明體"/>
            </a:rPr>
            <a:t>50</a:t>
          </a:r>
          <a:endParaRPr lang="zh-TW" altLang="en-US" sz="1200" b="1">
            <a:latin typeface="新細明體"/>
            <a:ea typeface="新細明體"/>
          </a:endParaRPr>
        </a:p>
      </xdr:txBody>
    </xdr:sp>
    <xdr:clientData/>
  </xdr:twoCellAnchor>
  <xdr:twoCellAnchor>
    <xdr:from>
      <xdr:col>9</xdr:col>
      <xdr:colOff>909638</xdr:colOff>
      <xdr:row>4</xdr:row>
      <xdr:rowOff>186565</xdr:rowOff>
    </xdr:from>
    <xdr:to>
      <xdr:col>9</xdr:col>
      <xdr:colOff>1090901</xdr:colOff>
      <xdr:row>4</xdr:row>
      <xdr:rowOff>393890</xdr:rowOff>
    </xdr:to>
    <xdr:sp macro="" textlink="">
      <xdr:nvSpPr>
        <xdr:cNvPr id="83" name="文字方塊 82"/>
        <xdr:cNvSpPr txBox="1"/>
      </xdr:nvSpPr>
      <xdr:spPr>
        <a:xfrm>
          <a:off x="1995488" y="1434340"/>
          <a:ext cx="181263" cy="20732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36000" bIns="7200" rtlCol="0" anchor="t">
          <a:spAutoFit/>
        </a:bodyPr>
        <a:lstStyle/>
        <a:p>
          <a:r>
            <a:rPr lang="en-US" altLang="zh-TW" sz="1200" b="1">
              <a:latin typeface="新細明體"/>
              <a:ea typeface="新細明體"/>
            </a:rPr>
            <a:t>70</a:t>
          </a:r>
          <a:endParaRPr lang="zh-TW" altLang="en-US" sz="1200" b="1">
            <a:latin typeface="新細明體"/>
            <a:ea typeface="新細明體"/>
          </a:endParaRPr>
        </a:p>
      </xdr:txBody>
    </xdr:sp>
    <xdr:clientData/>
  </xdr:twoCellAnchor>
  <xdr:twoCellAnchor>
    <xdr:from>
      <xdr:col>9</xdr:col>
      <xdr:colOff>81262</xdr:colOff>
      <xdr:row>4</xdr:row>
      <xdr:rowOff>29211</xdr:rowOff>
    </xdr:from>
    <xdr:to>
      <xdr:col>9</xdr:col>
      <xdr:colOff>372427</xdr:colOff>
      <xdr:row>4</xdr:row>
      <xdr:rowOff>195071</xdr:rowOff>
    </xdr:to>
    <xdr:sp macro="" textlink="">
      <xdr:nvSpPr>
        <xdr:cNvPr id="84" name="文字方塊 83"/>
        <xdr:cNvSpPr txBox="1"/>
      </xdr:nvSpPr>
      <xdr:spPr>
        <a:xfrm>
          <a:off x="1167112" y="41215311"/>
          <a:ext cx="291165" cy="1658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36000" bIns="7200" rtlCol="0" anchor="t">
          <a:spAutoFit/>
        </a:bodyPr>
        <a:lstStyle/>
        <a:p>
          <a:r>
            <a:rPr lang="en-US" altLang="zh-TW" sz="1200" b="1">
              <a:latin typeface="新細明體"/>
              <a:ea typeface="新細明體"/>
            </a:rPr>
            <a:t>180°</a:t>
          </a:r>
          <a:endParaRPr lang="zh-TW" altLang="en-US" sz="1200" b="1">
            <a:latin typeface="新細明體"/>
            <a:ea typeface="新細明體"/>
          </a:endParaRPr>
        </a:p>
      </xdr:txBody>
    </xdr:sp>
    <xdr:clientData/>
  </xdr:twoCellAnchor>
  <xdr:twoCellAnchor>
    <xdr:from>
      <xdr:col>9</xdr:col>
      <xdr:colOff>909638</xdr:colOff>
      <xdr:row>4</xdr:row>
      <xdr:rowOff>29211</xdr:rowOff>
    </xdr:from>
    <xdr:to>
      <xdr:col>9</xdr:col>
      <xdr:colOff>1200803</xdr:colOff>
      <xdr:row>4</xdr:row>
      <xdr:rowOff>195071</xdr:rowOff>
    </xdr:to>
    <xdr:sp macro="" textlink="">
      <xdr:nvSpPr>
        <xdr:cNvPr id="85" name="文字方塊 84"/>
        <xdr:cNvSpPr txBox="1"/>
      </xdr:nvSpPr>
      <xdr:spPr>
        <a:xfrm>
          <a:off x="1995488" y="41215311"/>
          <a:ext cx="291165" cy="1658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36000" bIns="7200" rtlCol="0" anchor="t">
          <a:spAutoFit/>
        </a:bodyPr>
        <a:lstStyle/>
        <a:p>
          <a:r>
            <a:rPr lang="en-US" altLang="zh-TW" sz="1200" b="1">
              <a:latin typeface="新細明體"/>
              <a:ea typeface="新細明體"/>
            </a:rPr>
            <a:t>180°</a:t>
          </a:r>
          <a:endParaRPr lang="zh-TW" altLang="en-US" sz="1200" b="1">
            <a:latin typeface="新細明體"/>
            <a:ea typeface="新細明體"/>
          </a:endParaRPr>
        </a:p>
      </xdr:txBody>
    </xdr:sp>
    <xdr:clientData/>
  </xdr:twoCellAnchor>
  <xdr:twoCellAnchor>
    <xdr:from>
      <xdr:col>9</xdr:col>
      <xdr:colOff>481648</xdr:colOff>
      <xdr:row>5</xdr:row>
      <xdr:rowOff>80011</xdr:rowOff>
    </xdr:from>
    <xdr:to>
      <xdr:col>9</xdr:col>
      <xdr:colOff>481648</xdr:colOff>
      <xdr:row>5</xdr:row>
      <xdr:rowOff>181611</xdr:rowOff>
    </xdr:to>
    <xdr:cxnSp macro="">
      <xdr:nvCxnSpPr>
        <xdr:cNvPr id="86" name="直線接點 85"/>
        <xdr:cNvCxnSpPr/>
      </xdr:nvCxnSpPr>
      <xdr:spPr>
        <a:xfrm flipV="1">
          <a:off x="1567498" y="41266111"/>
          <a:ext cx="0" cy="101600"/>
        </a:xfrm>
        <a:prstGeom prst="line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380048</xdr:colOff>
      <xdr:row>5</xdr:row>
      <xdr:rowOff>29211</xdr:rowOff>
    </xdr:from>
    <xdr:to>
      <xdr:col>9</xdr:col>
      <xdr:colOff>481648</xdr:colOff>
      <xdr:row>5</xdr:row>
      <xdr:rowOff>130811</xdr:rowOff>
    </xdr:to>
    <xdr:sp macro="" textlink="">
      <xdr:nvSpPr>
        <xdr:cNvPr id="87" name="弧形 86"/>
        <xdr:cNvSpPr/>
      </xdr:nvSpPr>
      <xdr:spPr>
        <a:xfrm>
          <a:off x="1465898" y="41215311"/>
          <a:ext cx="101600" cy="101600"/>
        </a:xfrm>
        <a:prstGeom prst="arc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380048</xdr:colOff>
      <xdr:row>5</xdr:row>
      <xdr:rowOff>29211</xdr:rowOff>
    </xdr:from>
    <xdr:to>
      <xdr:col>9</xdr:col>
      <xdr:colOff>481648</xdr:colOff>
      <xdr:row>5</xdr:row>
      <xdr:rowOff>130811</xdr:rowOff>
    </xdr:to>
    <xdr:sp macro="" textlink="">
      <xdr:nvSpPr>
        <xdr:cNvPr id="88" name="弧形 87"/>
        <xdr:cNvSpPr/>
      </xdr:nvSpPr>
      <xdr:spPr>
        <a:xfrm flipH="1">
          <a:off x="1465898" y="41215311"/>
          <a:ext cx="101600" cy="101600"/>
        </a:xfrm>
        <a:prstGeom prst="arc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380048</xdr:colOff>
      <xdr:row>5</xdr:row>
      <xdr:rowOff>80011</xdr:rowOff>
    </xdr:from>
    <xdr:to>
      <xdr:col>9</xdr:col>
      <xdr:colOff>380048</xdr:colOff>
      <xdr:row>5</xdr:row>
      <xdr:rowOff>360046</xdr:rowOff>
    </xdr:to>
    <xdr:cxnSp macro="">
      <xdr:nvCxnSpPr>
        <xdr:cNvPr id="89" name="直線接點 88"/>
        <xdr:cNvCxnSpPr/>
      </xdr:nvCxnSpPr>
      <xdr:spPr>
        <a:xfrm>
          <a:off x="1465898" y="41266111"/>
          <a:ext cx="0" cy="280035"/>
        </a:xfrm>
        <a:prstGeom prst="line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380048</xdr:colOff>
      <xdr:row>5</xdr:row>
      <xdr:rowOff>360046</xdr:rowOff>
    </xdr:from>
    <xdr:to>
      <xdr:col>9</xdr:col>
      <xdr:colOff>886777</xdr:colOff>
      <xdr:row>5</xdr:row>
      <xdr:rowOff>360046</xdr:rowOff>
    </xdr:to>
    <xdr:cxnSp macro="">
      <xdr:nvCxnSpPr>
        <xdr:cNvPr id="90" name="直線接點 89"/>
        <xdr:cNvCxnSpPr/>
      </xdr:nvCxnSpPr>
      <xdr:spPr>
        <a:xfrm>
          <a:off x="1465898" y="41546146"/>
          <a:ext cx="506729" cy="0"/>
        </a:xfrm>
        <a:prstGeom prst="line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886777</xdr:colOff>
      <xdr:row>5</xdr:row>
      <xdr:rowOff>80011</xdr:rowOff>
    </xdr:from>
    <xdr:to>
      <xdr:col>9</xdr:col>
      <xdr:colOff>886777</xdr:colOff>
      <xdr:row>5</xdr:row>
      <xdr:rowOff>360046</xdr:rowOff>
    </xdr:to>
    <xdr:cxnSp macro="">
      <xdr:nvCxnSpPr>
        <xdr:cNvPr id="91" name="直線接點 90"/>
        <xdr:cNvCxnSpPr/>
      </xdr:nvCxnSpPr>
      <xdr:spPr>
        <a:xfrm flipV="1">
          <a:off x="1972627" y="41266111"/>
          <a:ext cx="0" cy="280035"/>
        </a:xfrm>
        <a:prstGeom prst="line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785177</xdr:colOff>
      <xdr:row>5</xdr:row>
      <xdr:rowOff>29211</xdr:rowOff>
    </xdr:from>
    <xdr:to>
      <xdr:col>9</xdr:col>
      <xdr:colOff>886777</xdr:colOff>
      <xdr:row>5</xdr:row>
      <xdr:rowOff>130811</xdr:rowOff>
    </xdr:to>
    <xdr:sp macro="" textlink="">
      <xdr:nvSpPr>
        <xdr:cNvPr id="92" name="弧形 91"/>
        <xdr:cNvSpPr/>
      </xdr:nvSpPr>
      <xdr:spPr>
        <a:xfrm>
          <a:off x="1871027" y="41215311"/>
          <a:ext cx="101600" cy="101600"/>
        </a:xfrm>
        <a:prstGeom prst="arc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785177</xdr:colOff>
      <xdr:row>5</xdr:row>
      <xdr:rowOff>29211</xdr:rowOff>
    </xdr:from>
    <xdr:to>
      <xdr:col>9</xdr:col>
      <xdr:colOff>886777</xdr:colOff>
      <xdr:row>5</xdr:row>
      <xdr:rowOff>130811</xdr:rowOff>
    </xdr:to>
    <xdr:sp macro="" textlink="">
      <xdr:nvSpPr>
        <xdr:cNvPr id="93" name="弧形 92"/>
        <xdr:cNvSpPr/>
      </xdr:nvSpPr>
      <xdr:spPr>
        <a:xfrm flipH="1">
          <a:off x="1871027" y="41215311"/>
          <a:ext cx="101600" cy="101600"/>
        </a:xfrm>
        <a:prstGeom prst="arc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785177</xdr:colOff>
      <xdr:row>5</xdr:row>
      <xdr:rowOff>80011</xdr:rowOff>
    </xdr:from>
    <xdr:to>
      <xdr:col>9</xdr:col>
      <xdr:colOff>785177</xdr:colOff>
      <xdr:row>5</xdr:row>
      <xdr:rowOff>181611</xdr:rowOff>
    </xdr:to>
    <xdr:cxnSp macro="">
      <xdr:nvCxnSpPr>
        <xdr:cNvPr id="94" name="直線接點 93"/>
        <xdr:cNvCxnSpPr/>
      </xdr:nvCxnSpPr>
      <xdr:spPr>
        <a:xfrm>
          <a:off x="1871027" y="41266111"/>
          <a:ext cx="0" cy="101600"/>
        </a:xfrm>
        <a:prstGeom prst="line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542781</xdr:colOff>
      <xdr:row>5</xdr:row>
      <xdr:rowOff>29211</xdr:rowOff>
    </xdr:from>
    <xdr:to>
      <xdr:col>9</xdr:col>
      <xdr:colOff>724044</xdr:colOff>
      <xdr:row>5</xdr:row>
      <xdr:rowOff>195071</xdr:rowOff>
    </xdr:to>
    <xdr:sp macro="" textlink="">
      <xdr:nvSpPr>
        <xdr:cNvPr id="95" name="文字方塊 94"/>
        <xdr:cNvSpPr txBox="1"/>
      </xdr:nvSpPr>
      <xdr:spPr>
        <a:xfrm>
          <a:off x="1628631" y="41215311"/>
          <a:ext cx="181263" cy="1658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36000" bIns="7200" rtlCol="0" anchor="t">
          <a:spAutoFit/>
        </a:bodyPr>
        <a:lstStyle/>
        <a:p>
          <a:r>
            <a:rPr lang="en-US" altLang="zh-TW" sz="1200" b="1">
              <a:latin typeface="新細明體"/>
              <a:ea typeface="新細明體"/>
            </a:rPr>
            <a:t>12</a:t>
          </a:r>
          <a:endParaRPr lang="zh-TW" altLang="en-US" sz="1200" b="1">
            <a:latin typeface="新細明體"/>
            <a:ea typeface="新細明體"/>
          </a:endParaRPr>
        </a:p>
      </xdr:txBody>
    </xdr:sp>
    <xdr:clientData/>
  </xdr:twoCellAnchor>
  <xdr:twoCellAnchor>
    <xdr:from>
      <xdr:col>9</xdr:col>
      <xdr:colOff>542781</xdr:colOff>
      <xdr:row>5</xdr:row>
      <xdr:rowOff>186565</xdr:rowOff>
    </xdr:from>
    <xdr:to>
      <xdr:col>9</xdr:col>
      <xdr:colOff>724044</xdr:colOff>
      <xdr:row>5</xdr:row>
      <xdr:rowOff>352425</xdr:rowOff>
    </xdr:to>
    <xdr:sp macro="" textlink="">
      <xdr:nvSpPr>
        <xdr:cNvPr id="96" name="文字方塊 95"/>
        <xdr:cNvSpPr txBox="1"/>
      </xdr:nvSpPr>
      <xdr:spPr>
        <a:xfrm>
          <a:off x="1628631" y="41372665"/>
          <a:ext cx="181263" cy="1658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36000" bIns="7200" rtlCol="0" anchor="t">
          <a:spAutoFit/>
        </a:bodyPr>
        <a:lstStyle/>
        <a:p>
          <a:r>
            <a:rPr lang="en-US" altLang="zh-TW" sz="1200" b="1">
              <a:latin typeface="新細明體"/>
              <a:ea typeface="新細明體"/>
            </a:rPr>
            <a:t>50</a:t>
          </a:r>
          <a:endParaRPr lang="zh-TW" altLang="en-US" sz="1200" b="1">
            <a:latin typeface="新細明體"/>
            <a:ea typeface="新細明體"/>
          </a:endParaRPr>
        </a:p>
      </xdr:txBody>
    </xdr:sp>
    <xdr:clientData/>
  </xdr:twoCellAnchor>
  <xdr:twoCellAnchor>
    <xdr:from>
      <xdr:col>9</xdr:col>
      <xdr:colOff>909638</xdr:colOff>
      <xdr:row>5</xdr:row>
      <xdr:rowOff>186565</xdr:rowOff>
    </xdr:from>
    <xdr:to>
      <xdr:col>9</xdr:col>
      <xdr:colOff>1090901</xdr:colOff>
      <xdr:row>5</xdr:row>
      <xdr:rowOff>393890</xdr:rowOff>
    </xdr:to>
    <xdr:sp macro="" textlink="">
      <xdr:nvSpPr>
        <xdr:cNvPr id="97" name="文字方塊 96"/>
        <xdr:cNvSpPr txBox="1"/>
      </xdr:nvSpPr>
      <xdr:spPr>
        <a:xfrm>
          <a:off x="1995488" y="1872490"/>
          <a:ext cx="181263" cy="20732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36000" bIns="7200" rtlCol="0" anchor="t">
          <a:spAutoFit/>
        </a:bodyPr>
        <a:lstStyle/>
        <a:p>
          <a:r>
            <a:rPr lang="en-US" altLang="zh-TW" sz="1200" b="1">
              <a:latin typeface="新細明體"/>
              <a:ea typeface="新細明體"/>
            </a:rPr>
            <a:t>70</a:t>
          </a:r>
          <a:endParaRPr lang="zh-TW" altLang="en-US" sz="1200" b="1">
            <a:latin typeface="新細明體"/>
            <a:ea typeface="新細明體"/>
          </a:endParaRPr>
        </a:p>
      </xdr:txBody>
    </xdr:sp>
    <xdr:clientData/>
  </xdr:twoCellAnchor>
  <xdr:twoCellAnchor>
    <xdr:from>
      <xdr:col>9</xdr:col>
      <xdr:colOff>909638</xdr:colOff>
      <xdr:row>5</xdr:row>
      <xdr:rowOff>29211</xdr:rowOff>
    </xdr:from>
    <xdr:to>
      <xdr:col>9</xdr:col>
      <xdr:colOff>1200803</xdr:colOff>
      <xdr:row>5</xdr:row>
      <xdr:rowOff>195071</xdr:rowOff>
    </xdr:to>
    <xdr:sp macro="" textlink="">
      <xdr:nvSpPr>
        <xdr:cNvPr id="99" name="文字方塊 98"/>
        <xdr:cNvSpPr txBox="1"/>
      </xdr:nvSpPr>
      <xdr:spPr>
        <a:xfrm>
          <a:off x="1995488" y="41215311"/>
          <a:ext cx="291165" cy="1658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36000" bIns="7200" rtlCol="0" anchor="t">
          <a:spAutoFit/>
        </a:bodyPr>
        <a:lstStyle/>
        <a:p>
          <a:r>
            <a:rPr lang="en-US" altLang="zh-TW" sz="1200" b="1">
              <a:latin typeface="新細明體"/>
              <a:ea typeface="新細明體"/>
            </a:rPr>
            <a:t>180°</a:t>
          </a:r>
          <a:endParaRPr lang="zh-TW" altLang="en-US" sz="1200" b="1">
            <a:latin typeface="新細明體"/>
            <a:ea typeface="新細明體"/>
          </a:endParaRPr>
        </a:p>
      </xdr:txBody>
    </xdr:sp>
    <xdr:clientData/>
  </xdr:twoCellAnchor>
  <xdr:twoCellAnchor>
    <xdr:from>
      <xdr:col>9</xdr:col>
      <xdr:colOff>481648</xdr:colOff>
      <xdr:row>6</xdr:row>
      <xdr:rowOff>80011</xdr:rowOff>
    </xdr:from>
    <xdr:to>
      <xdr:col>9</xdr:col>
      <xdr:colOff>481648</xdr:colOff>
      <xdr:row>6</xdr:row>
      <xdr:rowOff>181611</xdr:rowOff>
    </xdr:to>
    <xdr:cxnSp macro="">
      <xdr:nvCxnSpPr>
        <xdr:cNvPr id="100" name="直線接點 99"/>
        <xdr:cNvCxnSpPr/>
      </xdr:nvCxnSpPr>
      <xdr:spPr>
        <a:xfrm flipV="1">
          <a:off x="1567498" y="41266111"/>
          <a:ext cx="0" cy="101600"/>
        </a:xfrm>
        <a:prstGeom prst="line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380048</xdr:colOff>
      <xdr:row>6</xdr:row>
      <xdr:rowOff>29211</xdr:rowOff>
    </xdr:from>
    <xdr:to>
      <xdr:col>9</xdr:col>
      <xdr:colOff>481648</xdr:colOff>
      <xdr:row>6</xdr:row>
      <xdr:rowOff>130811</xdr:rowOff>
    </xdr:to>
    <xdr:sp macro="" textlink="">
      <xdr:nvSpPr>
        <xdr:cNvPr id="101" name="弧形 100"/>
        <xdr:cNvSpPr/>
      </xdr:nvSpPr>
      <xdr:spPr>
        <a:xfrm>
          <a:off x="1465898" y="41215311"/>
          <a:ext cx="101600" cy="101600"/>
        </a:xfrm>
        <a:prstGeom prst="arc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380048</xdr:colOff>
      <xdr:row>6</xdr:row>
      <xdr:rowOff>29211</xdr:rowOff>
    </xdr:from>
    <xdr:to>
      <xdr:col>9</xdr:col>
      <xdr:colOff>481648</xdr:colOff>
      <xdr:row>6</xdr:row>
      <xdr:rowOff>130811</xdr:rowOff>
    </xdr:to>
    <xdr:sp macro="" textlink="">
      <xdr:nvSpPr>
        <xdr:cNvPr id="102" name="弧形 101"/>
        <xdr:cNvSpPr/>
      </xdr:nvSpPr>
      <xdr:spPr>
        <a:xfrm flipH="1">
          <a:off x="1465898" y="41215311"/>
          <a:ext cx="101600" cy="101600"/>
        </a:xfrm>
        <a:prstGeom prst="arc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380048</xdr:colOff>
      <xdr:row>6</xdr:row>
      <xdr:rowOff>80011</xdr:rowOff>
    </xdr:from>
    <xdr:to>
      <xdr:col>9</xdr:col>
      <xdr:colOff>380048</xdr:colOff>
      <xdr:row>6</xdr:row>
      <xdr:rowOff>360046</xdr:rowOff>
    </xdr:to>
    <xdr:cxnSp macro="">
      <xdr:nvCxnSpPr>
        <xdr:cNvPr id="103" name="直線接點 102"/>
        <xdr:cNvCxnSpPr/>
      </xdr:nvCxnSpPr>
      <xdr:spPr>
        <a:xfrm>
          <a:off x="1465898" y="41266111"/>
          <a:ext cx="0" cy="280035"/>
        </a:xfrm>
        <a:prstGeom prst="line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380048</xdr:colOff>
      <xdr:row>6</xdr:row>
      <xdr:rowOff>360046</xdr:rowOff>
    </xdr:from>
    <xdr:to>
      <xdr:col>9</xdr:col>
      <xdr:colOff>886777</xdr:colOff>
      <xdr:row>6</xdr:row>
      <xdr:rowOff>360046</xdr:rowOff>
    </xdr:to>
    <xdr:cxnSp macro="">
      <xdr:nvCxnSpPr>
        <xdr:cNvPr id="104" name="直線接點 103"/>
        <xdr:cNvCxnSpPr/>
      </xdr:nvCxnSpPr>
      <xdr:spPr>
        <a:xfrm>
          <a:off x="1465898" y="41546146"/>
          <a:ext cx="506729" cy="0"/>
        </a:xfrm>
        <a:prstGeom prst="line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886777</xdr:colOff>
      <xdr:row>6</xdr:row>
      <xdr:rowOff>80011</xdr:rowOff>
    </xdr:from>
    <xdr:to>
      <xdr:col>9</xdr:col>
      <xdr:colOff>886777</xdr:colOff>
      <xdr:row>6</xdr:row>
      <xdr:rowOff>360046</xdr:rowOff>
    </xdr:to>
    <xdr:cxnSp macro="">
      <xdr:nvCxnSpPr>
        <xdr:cNvPr id="105" name="直線接點 104"/>
        <xdr:cNvCxnSpPr/>
      </xdr:nvCxnSpPr>
      <xdr:spPr>
        <a:xfrm flipV="1">
          <a:off x="1972627" y="41266111"/>
          <a:ext cx="0" cy="280035"/>
        </a:xfrm>
        <a:prstGeom prst="line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785177</xdr:colOff>
      <xdr:row>6</xdr:row>
      <xdr:rowOff>29211</xdr:rowOff>
    </xdr:from>
    <xdr:to>
      <xdr:col>9</xdr:col>
      <xdr:colOff>886777</xdr:colOff>
      <xdr:row>6</xdr:row>
      <xdr:rowOff>130811</xdr:rowOff>
    </xdr:to>
    <xdr:sp macro="" textlink="">
      <xdr:nvSpPr>
        <xdr:cNvPr id="106" name="弧形 105"/>
        <xdr:cNvSpPr/>
      </xdr:nvSpPr>
      <xdr:spPr>
        <a:xfrm>
          <a:off x="1871027" y="41215311"/>
          <a:ext cx="101600" cy="101600"/>
        </a:xfrm>
        <a:prstGeom prst="arc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785177</xdr:colOff>
      <xdr:row>6</xdr:row>
      <xdr:rowOff>29211</xdr:rowOff>
    </xdr:from>
    <xdr:to>
      <xdr:col>9</xdr:col>
      <xdr:colOff>886777</xdr:colOff>
      <xdr:row>6</xdr:row>
      <xdr:rowOff>130811</xdr:rowOff>
    </xdr:to>
    <xdr:sp macro="" textlink="">
      <xdr:nvSpPr>
        <xdr:cNvPr id="107" name="弧形 106"/>
        <xdr:cNvSpPr/>
      </xdr:nvSpPr>
      <xdr:spPr>
        <a:xfrm flipH="1">
          <a:off x="1871027" y="41215311"/>
          <a:ext cx="101600" cy="101600"/>
        </a:xfrm>
        <a:prstGeom prst="arc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785177</xdr:colOff>
      <xdr:row>6</xdr:row>
      <xdr:rowOff>80011</xdr:rowOff>
    </xdr:from>
    <xdr:to>
      <xdr:col>9</xdr:col>
      <xdr:colOff>785177</xdr:colOff>
      <xdr:row>6</xdr:row>
      <xdr:rowOff>181611</xdr:rowOff>
    </xdr:to>
    <xdr:cxnSp macro="">
      <xdr:nvCxnSpPr>
        <xdr:cNvPr id="108" name="直線接點 107"/>
        <xdr:cNvCxnSpPr/>
      </xdr:nvCxnSpPr>
      <xdr:spPr>
        <a:xfrm>
          <a:off x="1871027" y="41266111"/>
          <a:ext cx="0" cy="101600"/>
        </a:xfrm>
        <a:prstGeom prst="line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542781</xdr:colOff>
      <xdr:row>6</xdr:row>
      <xdr:rowOff>29211</xdr:rowOff>
    </xdr:from>
    <xdr:to>
      <xdr:col>9</xdr:col>
      <xdr:colOff>724044</xdr:colOff>
      <xdr:row>6</xdr:row>
      <xdr:rowOff>195071</xdr:rowOff>
    </xdr:to>
    <xdr:sp macro="" textlink="">
      <xdr:nvSpPr>
        <xdr:cNvPr id="109" name="文字方塊 108"/>
        <xdr:cNvSpPr txBox="1"/>
      </xdr:nvSpPr>
      <xdr:spPr>
        <a:xfrm>
          <a:off x="1628631" y="41215311"/>
          <a:ext cx="181263" cy="1658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36000" bIns="7200" rtlCol="0" anchor="t">
          <a:spAutoFit/>
        </a:bodyPr>
        <a:lstStyle/>
        <a:p>
          <a:r>
            <a:rPr lang="en-US" altLang="zh-TW" sz="1200" b="1">
              <a:latin typeface="新細明體"/>
              <a:ea typeface="新細明體"/>
            </a:rPr>
            <a:t>12</a:t>
          </a:r>
          <a:endParaRPr lang="zh-TW" altLang="en-US" sz="1200" b="1">
            <a:latin typeface="新細明體"/>
            <a:ea typeface="新細明體"/>
          </a:endParaRPr>
        </a:p>
      </xdr:txBody>
    </xdr:sp>
    <xdr:clientData/>
  </xdr:twoCellAnchor>
  <xdr:twoCellAnchor>
    <xdr:from>
      <xdr:col>9</xdr:col>
      <xdr:colOff>542781</xdr:colOff>
      <xdr:row>6</xdr:row>
      <xdr:rowOff>186565</xdr:rowOff>
    </xdr:from>
    <xdr:to>
      <xdr:col>9</xdr:col>
      <xdr:colOff>724044</xdr:colOff>
      <xdr:row>6</xdr:row>
      <xdr:rowOff>352425</xdr:rowOff>
    </xdr:to>
    <xdr:sp macro="" textlink="">
      <xdr:nvSpPr>
        <xdr:cNvPr id="110" name="文字方塊 109"/>
        <xdr:cNvSpPr txBox="1"/>
      </xdr:nvSpPr>
      <xdr:spPr>
        <a:xfrm>
          <a:off x="1628631" y="41372665"/>
          <a:ext cx="181263" cy="1658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36000" bIns="7200" rtlCol="0" anchor="t">
          <a:spAutoFit/>
        </a:bodyPr>
        <a:lstStyle/>
        <a:p>
          <a:r>
            <a:rPr lang="en-US" altLang="zh-TW" sz="1200" b="1">
              <a:latin typeface="新細明體"/>
              <a:ea typeface="新細明體"/>
            </a:rPr>
            <a:t>50</a:t>
          </a:r>
          <a:endParaRPr lang="zh-TW" altLang="en-US" sz="1200" b="1">
            <a:latin typeface="新細明體"/>
            <a:ea typeface="新細明體"/>
          </a:endParaRPr>
        </a:p>
      </xdr:txBody>
    </xdr:sp>
    <xdr:clientData/>
  </xdr:twoCellAnchor>
  <xdr:twoCellAnchor>
    <xdr:from>
      <xdr:col>9</xdr:col>
      <xdr:colOff>909638</xdr:colOff>
      <xdr:row>6</xdr:row>
      <xdr:rowOff>186565</xdr:rowOff>
    </xdr:from>
    <xdr:to>
      <xdr:col>9</xdr:col>
      <xdr:colOff>1090901</xdr:colOff>
      <xdr:row>6</xdr:row>
      <xdr:rowOff>393890</xdr:rowOff>
    </xdr:to>
    <xdr:sp macro="" textlink="">
      <xdr:nvSpPr>
        <xdr:cNvPr id="111" name="文字方塊 110"/>
        <xdr:cNvSpPr txBox="1"/>
      </xdr:nvSpPr>
      <xdr:spPr>
        <a:xfrm>
          <a:off x="1995488" y="2310640"/>
          <a:ext cx="181263" cy="20732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36000" bIns="7200" rtlCol="0" anchor="t">
          <a:spAutoFit/>
        </a:bodyPr>
        <a:lstStyle/>
        <a:p>
          <a:r>
            <a:rPr lang="en-US" altLang="zh-TW" sz="1200" b="1">
              <a:latin typeface="新細明體"/>
              <a:ea typeface="新細明體"/>
            </a:rPr>
            <a:t>70</a:t>
          </a:r>
          <a:endParaRPr lang="zh-TW" altLang="en-US" sz="1200" b="1">
            <a:latin typeface="新細明體"/>
            <a:ea typeface="新細明體"/>
          </a:endParaRPr>
        </a:p>
      </xdr:txBody>
    </xdr:sp>
    <xdr:clientData/>
  </xdr:twoCellAnchor>
  <xdr:twoCellAnchor>
    <xdr:from>
      <xdr:col>9</xdr:col>
      <xdr:colOff>81262</xdr:colOff>
      <xdr:row>6</xdr:row>
      <xdr:rowOff>29211</xdr:rowOff>
    </xdr:from>
    <xdr:to>
      <xdr:col>9</xdr:col>
      <xdr:colOff>372427</xdr:colOff>
      <xdr:row>6</xdr:row>
      <xdr:rowOff>195071</xdr:rowOff>
    </xdr:to>
    <xdr:sp macro="" textlink="">
      <xdr:nvSpPr>
        <xdr:cNvPr id="112" name="文字方塊 111"/>
        <xdr:cNvSpPr txBox="1"/>
      </xdr:nvSpPr>
      <xdr:spPr>
        <a:xfrm>
          <a:off x="1167112" y="41215311"/>
          <a:ext cx="291165" cy="1658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36000" bIns="7200" rtlCol="0" anchor="t">
          <a:spAutoFit/>
        </a:bodyPr>
        <a:lstStyle/>
        <a:p>
          <a:r>
            <a:rPr lang="en-US" altLang="zh-TW" sz="1200" b="1">
              <a:latin typeface="新細明體"/>
              <a:ea typeface="新細明體"/>
            </a:rPr>
            <a:t>180°</a:t>
          </a:r>
          <a:endParaRPr lang="zh-TW" altLang="en-US" sz="1200" b="1">
            <a:latin typeface="新細明體"/>
            <a:ea typeface="新細明體"/>
          </a:endParaRPr>
        </a:p>
      </xdr:txBody>
    </xdr:sp>
    <xdr:clientData/>
  </xdr:twoCellAnchor>
  <xdr:twoCellAnchor>
    <xdr:from>
      <xdr:col>9</xdr:col>
      <xdr:colOff>909638</xdr:colOff>
      <xdr:row>6</xdr:row>
      <xdr:rowOff>29211</xdr:rowOff>
    </xdr:from>
    <xdr:to>
      <xdr:col>9</xdr:col>
      <xdr:colOff>1200803</xdr:colOff>
      <xdr:row>6</xdr:row>
      <xdr:rowOff>195071</xdr:rowOff>
    </xdr:to>
    <xdr:sp macro="" textlink="">
      <xdr:nvSpPr>
        <xdr:cNvPr id="113" name="文字方塊 112"/>
        <xdr:cNvSpPr txBox="1"/>
      </xdr:nvSpPr>
      <xdr:spPr>
        <a:xfrm>
          <a:off x="1995488" y="41215311"/>
          <a:ext cx="291165" cy="1658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36000" bIns="7200" rtlCol="0" anchor="t">
          <a:spAutoFit/>
        </a:bodyPr>
        <a:lstStyle/>
        <a:p>
          <a:r>
            <a:rPr lang="en-US" altLang="zh-TW" sz="1200" b="1">
              <a:latin typeface="新細明體"/>
              <a:ea typeface="新細明體"/>
            </a:rPr>
            <a:t>180°</a:t>
          </a:r>
          <a:endParaRPr lang="zh-TW" altLang="en-US" sz="1200" b="1">
            <a:latin typeface="新細明體"/>
            <a:ea typeface="新細明體"/>
          </a:endParaRPr>
        </a:p>
      </xdr:txBody>
    </xdr:sp>
    <xdr:clientData/>
  </xdr:twoCellAnchor>
  <xdr:twoCellAnchor>
    <xdr:from>
      <xdr:col>9</xdr:col>
      <xdr:colOff>285274</xdr:colOff>
      <xdr:row>7</xdr:row>
      <xdr:rowOff>145733</xdr:rowOff>
    </xdr:from>
    <xdr:to>
      <xdr:col>9</xdr:col>
      <xdr:colOff>1172051</xdr:colOff>
      <xdr:row>7</xdr:row>
      <xdr:rowOff>145733</xdr:rowOff>
    </xdr:to>
    <xdr:cxnSp macro="">
      <xdr:nvCxnSpPr>
        <xdr:cNvPr id="114" name="直線接點 113"/>
        <xdr:cNvCxnSpPr/>
      </xdr:nvCxnSpPr>
      <xdr:spPr>
        <a:xfrm>
          <a:off x="1371124" y="2707958"/>
          <a:ext cx="886777" cy="0"/>
        </a:xfrm>
        <a:prstGeom prst="line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565575</xdr:colOff>
      <xdr:row>7</xdr:row>
      <xdr:rowOff>124652</xdr:rowOff>
    </xdr:from>
    <xdr:to>
      <xdr:col>9</xdr:col>
      <xdr:colOff>819294</xdr:colOff>
      <xdr:row>7</xdr:row>
      <xdr:rowOff>331977</xdr:rowOff>
    </xdr:to>
    <xdr:sp macro="" textlink="">
      <xdr:nvSpPr>
        <xdr:cNvPr id="115" name="文字方塊 114"/>
        <xdr:cNvSpPr txBox="1"/>
      </xdr:nvSpPr>
      <xdr:spPr>
        <a:xfrm>
          <a:off x="1651425" y="2686877"/>
          <a:ext cx="253719" cy="20732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36000" bIns="7200" rtlCol="0" anchor="t">
          <a:spAutoFit/>
        </a:bodyPr>
        <a:lstStyle/>
        <a:p>
          <a:r>
            <a:rPr lang="en-US" altLang="zh-TW" sz="1200" b="1">
              <a:latin typeface="新細明體"/>
              <a:ea typeface="新細明體"/>
            </a:rPr>
            <a:t>325</a:t>
          </a:r>
          <a:endParaRPr lang="zh-TW" altLang="en-US" sz="1200" b="1">
            <a:latin typeface="新細明體"/>
            <a:ea typeface="新細明體"/>
          </a:endParaRPr>
        </a:p>
      </xdr:txBody>
    </xdr:sp>
    <xdr:clientData/>
  </xdr:twoCellAnchor>
  <xdr:twoCellAnchor>
    <xdr:from>
      <xdr:col>9</xdr:col>
      <xdr:colOff>304324</xdr:colOff>
      <xdr:row>8</xdr:row>
      <xdr:rowOff>288608</xdr:rowOff>
    </xdr:from>
    <xdr:to>
      <xdr:col>9</xdr:col>
      <xdr:colOff>1191101</xdr:colOff>
      <xdr:row>8</xdr:row>
      <xdr:rowOff>288608</xdr:rowOff>
    </xdr:to>
    <xdr:cxnSp macro="">
      <xdr:nvCxnSpPr>
        <xdr:cNvPr id="116" name="直線接點 115"/>
        <xdr:cNvCxnSpPr/>
      </xdr:nvCxnSpPr>
      <xdr:spPr>
        <a:xfrm>
          <a:off x="1390174" y="3288983"/>
          <a:ext cx="886777" cy="0"/>
        </a:xfrm>
        <a:prstGeom prst="line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584625</xdr:colOff>
      <xdr:row>8</xdr:row>
      <xdr:rowOff>115127</xdr:rowOff>
    </xdr:from>
    <xdr:to>
      <xdr:col>9</xdr:col>
      <xdr:colOff>838344</xdr:colOff>
      <xdr:row>8</xdr:row>
      <xdr:rowOff>322452</xdr:rowOff>
    </xdr:to>
    <xdr:sp macro="" textlink="">
      <xdr:nvSpPr>
        <xdr:cNvPr id="117" name="文字方塊 116"/>
        <xdr:cNvSpPr txBox="1"/>
      </xdr:nvSpPr>
      <xdr:spPr>
        <a:xfrm>
          <a:off x="1670475" y="3115502"/>
          <a:ext cx="253719" cy="20732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36000" bIns="7200" rtlCol="0" anchor="t">
          <a:spAutoFit/>
        </a:bodyPr>
        <a:lstStyle/>
        <a:p>
          <a:r>
            <a:rPr lang="en-US" altLang="zh-TW" sz="1200" b="1">
              <a:latin typeface="新細明體"/>
              <a:ea typeface="新細明體"/>
            </a:rPr>
            <a:t>325</a:t>
          </a:r>
          <a:endParaRPr lang="zh-TW" altLang="en-US" sz="1200" b="1">
            <a:latin typeface="新細明體"/>
            <a:ea typeface="新細明體"/>
          </a:endParaRPr>
        </a:p>
      </xdr:txBody>
    </xdr:sp>
    <xdr:clientData/>
  </xdr:twoCellAnchor>
  <xdr:twoCellAnchor>
    <xdr:from>
      <xdr:col>9</xdr:col>
      <xdr:colOff>285274</xdr:colOff>
      <xdr:row>9</xdr:row>
      <xdr:rowOff>145733</xdr:rowOff>
    </xdr:from>
    <xdr:to>
      <xdr:col>9</xdr:col>
      <xdr:colOff>1172051</xdr:colOff>
      <xdr:row>9</xdr:row>
      <xdr:rowOff>145733</xdr:rowOff>
    </xdr:to>
    <xdr:cxnSp macro="">
      <xdr:nvCxnSpPr>
        <xdr:cNvPr id="118" name="直線接點 117"/>
        <xdr:cNvCxnSpPr/>
      </xdr:nvCxnSpPr>
      <xdr:spPr>
        <a:xfrm>
          <a:off x="1371124" y="3584258"/>
          <a:ext cx="886777" cy="0"/>
        </a:xfrm>
        <a:prstGeom prst="line">
          <a:avLst/>
        </a:prstGeom>
        <a:ln w="12700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565575</xdr:colOff>
      <xdr:row>9</xdr:row>
      <xdr:rowOff>124652</xdr:rowOff>
    </xdr:from>
    <xdr:to>
      <xdr:col>9</xdr:col>
      <xdr:colOff>819294</xdr:colOff>
      <xdr:row>9</xdr:row>
      <xdr:rowOff>331977</xdr:rowOff>
    </xdr:to>
    <xdr:sp macro="" textlink="">
      <xdr:nvSpPr>
        <xdr:cNvPr id="119" name="文字方塊 118"/>
        <xdr:cNvSpPr txBox="1"/>
      </xdr:nvSpPr>
      <xdr:spPr>
        <a:xfrm>
          <a:off x="1651425" y="3563177"/>
          <a:ext cx="253719" cy="20732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36000" bIns="7200" rtlCol="0" anchor="t">
          <a:spAutoFit/>
        </a:bodyPr>
        <a:lstStyle/>
        <a:p>
          <a:r>
            <a:rPr lang="en-US" altLang="zh-TW" sz="1200" b="1">
              <a:latin typeface="新細明體"/>
              <a:ea typeface="新細明體"/>
            </a:rPr>
            <a:t>325</a:t>
          </a:r>
          <a:endParaRPr lang="zh-TW" altLang="en-US" sz="1200" b="1">
            <a:latin typeface="新細明體"/>
            <a:ea typeface="新細明體"/>
          </a:endParaRPr>
        </a:p>
      </xdr:txBody>
    </xdr:sp>
    <xdr:clientData/>
  </xdr:twoCellAnchor>
  <xdr:twoCellAnchor>
    <xdr:from>
      <xdr:col>2</xdr:col>
      <xdr:colOff>0</xdr:colOff>
      <xdr:row>10</xdr:row>
      <xdr:rowOff>0</xdr:rowOff>
    </xdr:from>
    <xdr:to>
      <xdr:col>2</xdr:col>
      <xdr:colOff>0</xdr:colOff>
      <xdr:row>10</xdr:row>
      <xdr:rowOff>175111</xdr:rowOff>
    </xdr:to>
    <xdr:cxnSp macro="">
      <xdr:nvCxnSpPr>
        <xdr:cNvPr id="120" name="直線接點 119"/>
        <xdr:cNvCxnSpPr/>
      </xdr:nvCxnSpPr>
      <xdr:spPr>
        <a:xfrm flipV="1">
          <a:off x="1085850" y="4314825"/>
          <a:ext cx="0" cy="175111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180499</xdr:colOff>
      <xdr:row>10</xdr:row>
      <xdr:rowOff>79007</xdr:rowOff>
    </xdr:from>
    <xdr:to>
      <xdr:col>9</xdr:col>
      <xdr:colOff>1073256</xdr:colOff>
      <xdr:row>11</xdr:row>
      <xdr:rowOff>4315</xdr:rowOff>
    </xdr:to>
    <xdr:grpSp>
      <xdr:nvGrpSpPr>
        <xdr:cNvPr id="121" name="群組 120"/>
        <xdr:cNvGrpSpPr/>
      </xdr:nvGrpSpPr>
      <xdr:grpSpPr>
        <a:xfrm>
          <a:off x="1266349" y="3955682"/>
          <a:ext cx="892757" cy="553958"/>
          <a:chOff x="1323499" y="28930232"/>
          <a:chExt cx="892757" cy="573008"/>
        </a:xfrm>
      </xdr:grpSpPr>
      <xdr:sp macro="" textlink="">
        <xdr:nvSpPr>
          <xdr:cNvPr id="122" name="文字方塊 121"/>
          <xdr:cNvSpPr txBox="1"/>
        </xdr:nvSpPr>
        <xdr:spPr>
          <a:xfrm>
            <a:off x="1363377" y="28950285"/>
            <a:ext cx="108807" cy="207325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36000" bIns="7200" rtlCol="0" anchor="t">
            <a:spAutoFit/>
          </a:bodyPr>
          <a:lstStyle/>
          <a:p>
            <a:r>
              <a:rPr lang="en-US" altLang="zh-TW" sz="1200" b="1">
                <a:latin typeface="新細明體"/>
                <a:ea typeface="新細明體"/>
              </a:rPr>
              <a:t>8</a:t>
            </a:r>
            <a:endParaRPr lang="zh-TW" altLang="en-US" sz="1200" b="1">
              <a:latin typeface="新細明體"/>
              <a:ea typeface="新細明體"/>
            </a:endParaRPr>
          </a:p>
        </xdr:txBody>
      </xdr:sp>
      <xdr:sp macro="" textlink="">
        <xdr:nvSpPr>
          <xdr:cNvPr id="123" name="文字方塊 122"/>
          <xdr:cNvSpPr txBox="1"/>
        </xdr:nvSpPr>
        <xdr:spPr>
          <a:xfrm>
            <a:off x="1647776" y="28950285"/>
            <a:ext cx="181263" cy="16586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36000" bIns="7200" rtlCol="0" anchor="t">
            <a:spAutoFit/>
          </a:bodyPr>
          <a:lstStyle/>
          <a:p>
            <a:r>
              <a:rPr lang="en-US" altLang="zh-TW" sz="1200" b="1">
                <a:latin typeface="新細明體"/>
                <a:ea typeface="新細明體"/>
              </a:rPr>
              <a:t>20</a:t>
            </a:r>
            <a:endParaRPr lang="zh-TW" altLang="en-US" sz="1200" b="1">
              <a:latin typeface="新細明體"/>
              <a:ea typeface="新細明體"/>
            </a:endParaRPr>
          </a:p>
        </xdr:txBody>
      </xdr:sp>
      <xdr:sp macro="" textlink="">
        <xdr:nvSpPr>
          <xdr:cNvPr id="124" name="文字方塊 123"/>
          <xdr:cNvSpPr txBox="1"/>
        </xdr:nvSpPr>
        <xdr:spPr>
          <a:xfrm>
            <a:off x="1951294" y="28930232"/>
            <a:ext cx="108807" cy="207325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36000" bIns="7200" rtlCol="0" anchor="t">
            <a:spAutoFit/>
          </a:bodyPr>
          <a:lstStyle/>
          <a:p>
            <a:r>
              <a:rPr lang="en-US" altLang="zh-TW" sz="1200" b="1">
                <a:latin typeface="新細明體"/>
                <a:ea typeface="新細明體"/>
              </a:rPr>
              <a:t>8</a:t>
            </a:r>
            <a:endParaRPr lang="zh-TW" altLang="en-US" sz="1200" b="1">
              <a:latin typeface="新細明體"/>
              <a:ea typeface="新細明體"/>
            </a:endParaRPr>
          </a:p>
        </xdr:txBody>
      </xdr:sp>
      <xdr:grpSp>
        <xdr:nvGrpSpPr>
          <xdr:cNvPr id="125" name="群組 124"/>
          <xdr:cNvGrpSpPr/>
        </xdr:nvGrpSpPr>
        <xdr:grpSpPr>
          <a:xfrm>
            <a:off x="1323499" y="28950285"/>
            <a:ext cx="892757" cy="552955"/>
            <a:chOff x="1333024" y="28950285"/>
            <a:chExt cx="892757" cy="552955"/>
          </a:xfrm>
        </xdr:grpSpPr>
        <xdr:grpSp>
          <xdr:nvGrpSpPr>
            <xdr:cNvPr id="126" name="群組 125"/>
            <xdr:cNvGrpSpPr/>
          </xdr:nvGrpSpPr>
          <xdr:grpSpPr>
            <a:xfrm>
              <a:off x="1333024" y="28950285"/>
              <a:ext cx="824389" cy="552955"/>
              <a:chOff x="1361599" y="12633960"/>
              <a:chExt cx="824389" cy="552955"/>
            </a:xfrm>
          </xdr:grpSpPr>
          <xdr:grpSp>
            <xdr:nvGrpSpPr>
              <xdr:cNvPr id="128" name="群組 127"/>
              <xdr:cNvGrpSpPr/>
            </xdr:nvGrpSpPr>
            <xdr:grpSpPr>
              <a:xfrm>
                <a:off x="1361599" y="12633960"/>
                <a:ext cx="824389" cy="438150"/>
                <a:chOff x="1333024" y="7871460"/>
                <a:chExt cx="824389" cy="640080"/>
              </a:xfrm>
            </xdr:grpSpPr>
            <xdr:cxnSp macro="">
              <xdr:nvCxnSpPr>
                <xdr:cNvPr id="130" name="直線接點 129"/>
                <xdr:cNvCxnSpPr/>
              </xdr:nvCxnSpPr>
              <xdr:spPr>
                <a:xfrm flipV="1">
                  <a:off x="1333024" y="8335518"/>
                  <a:ext cx="215360" cy="176022"/>
                </a:xfrm>
                <a:prstGeom prst="line">
                  <a:avLst/>
                </a:prstGeom>
                <a:ln w="12700">
                  <a:solidFill>
                    <a:srgbClr xmlns:mc="http://schemas.openxmlformats.org/markup-compatibility/2006" xmlns:a14="http://schemas.microsoft.com/office/drawing/2010/main" val="000000" mc:Ignorable="a14" a14:legacySpreadsheetColorIndex="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31" name="直線接點 130"/>
                <xdr:cNvCxnSpPr/>
              </xdr:nvCxnSpPr>
              <xdr:spPr>
                <a:xfrm flipV="1">
                  <a:off x="1548384" y="7871460"/>
                  <a:ext cx="0" cy="464058"/>
                </a:xfrm>
                <a:prstGeom prst="line">
                  <a:avLst/>
                </a:prstGeom>
                <a:ln w="12700">
                  <a:solidFill>
                    <a:srgbClr xmlns:mc="http://schemas.openxmlformats.org/markup-compatibility/2006" xmlns:a14="http://schemas.microsoft.com/office/drawing/2010/main" val="000000" mc:Ignorable="a14" a14:legacySpreadsheetColorIndex="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32" name="直線接點 131"/>
                <xdr:cNvCxnSpPr/>
              </xdr:nvCxnSpPr>
              <xdr:spPr>
                <a:xfrm>
                  <a:off x="1548384" y="7871460"/>
                  <a:ext cx="380048" cy="0"/>
                </a:xfrm>
                <a:prstGeom prst="line">
                  <a:avLst/>
                </a:prstGeom>
                <a:ln w="12700">
                  <a:solidFill>
                    <a:srgbClr xmlns:mc="http://schemas.openxmlformats.org/markup-compatibility/2006" xmlns:a14="http://schemas.microsoft.com/office/drawing/2010/main" val="000000" mc:Ignorable="a14" a14:legacySpreadsheetColorIndex="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33" name="直線接點 132"/>
                <xdr:cNvCxnSpPr/>
              </xdr:nvCxnSpPr>
              <xdr:spPr>
                <a:xfrm>
                  <a:off x="1928432" y="7871460"/>
                  <a:ext cx="0" cy="464058"/>
                </a:xfrm>
                <a:prstGeom prst="line">
                  <a:avLst/>
                </a:prstGeom>
                <a:ln w="12700">
                  <a:solidFill>
                    <a:srgbClr xmlns:mc="http://schemas.openxmlformats.org/markup-compatibility/2006" xmlns:a14="http://schemas.microsoft.com/office/drawing/2010/main" val="000000" mc:Ignorable="a14" a14:legacySpreadsheetColorIndex="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34" name="直線接點 133"/>
                <xdr:cNvCxnSpPr/>
              </xdr:nvCxnSpPr>
              <xdr:spPr>
                <a:xfrm flipV="1">
                  <a:off x="1928430" y="8123318"/>
                  <a:ext cx="228983" cy="212203"/>
                </a:xfrm>
                <a:prstGeom prst="line">
                  <a:avLst/>
                </a:prstGeom>
                <a:ln w="12700">
                  <a:solidFill>
                    <a:srgbClr xmlns:mc="http://schemas.openxmlformats.org/markup-compatibility/2006" xmlns:a14="http://schemas.microsoft.com/office/drawing/2010/main" val="000000" mc:Ignorable="a14" a14:legacySpreadsheetColorIndex="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29" name="文字方塊 128"/>
              <xdr:cNvSpPr txBox="1"/>
            </xdr:nvSpPr>
            <xdr:spPr>
              <a:xfrm>
                <a:off x="1494806" y="12979590"/>
                <a:ext cx="181263" cy="207325"/>
              </a:xfrm>
              <a:prstGeom prst="rect">
                <a:avLst/>
              </a:prstGeom>
              <a:noFill/>
              <a:ln w="9525" cmpd="sng">
                <a:noFill/>
              </a:ln>
              <a:effectLst/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  <a:ext uri="{91240B29-F687-4F45-9708-019B960494DF}">
                  <a14:hiddenLine xmlns:a14="http://schemas.microsoft.com/office/drawing/2010/main" w="9525" cmpd="sng">
                    <a:solidFill>
                      <a:schemeClr val="lt1">
                        <a:shade val="50000"/>
                      </a:schemeClr>
                    </a:solidFill>
                  </a14:hiddenLine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vert="horz" wrap="none" lIns="0" tIns="0" rIns="36000" bIns="7200" rtlCol="0" anchor="t">
                <a:spAutoFit/>
              </a:bodyPr>
              <a:lstStyle/>
              <a:p>
                <a:r>
                  <a:rPr lang="en-US" altLang="zh-TW" sz="1200" b="1">
                    <a:latin typeface="新細明體"/>
                    <a:ea typeface="新細明體"/>
                  </a:rPr>
                  <a:t>32</a:t>
                </a:r>
                <a:endParaRPr lang="zh-TW" altLang="en-US" sz="1200" b="1">
                  <a:latin typeface="新細明體"/>
                  <a:ea typeface="新細明體"/>
                </a:endParaRPr>
              </a:p>
            </xdr:txBody>
          </xdr:sp>
        </xdr:grpSp>
        <xdr:sp macro="" textlink="">
          <xdr:nvSpPr>
            <xdr:cNvPr id="127" name="文字方塊 126"/>
            <xdr:cNvSpPr txBox="1"/>
          </xdr:nvSpPr>
          <xdr:spPr>
            <a:xfrm>
              <a:off x="2044518" y="29173611"/>
              <a:ext cx="181263" cy="207325"/>
            </a:xfrm>
            <a:prstGeom prst="rect">
              <a:avLst/>
            </a:prstGeom>
            <a:noFill/>
            <a:ln w="9525" cmpd="sng"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  <a:ext uri="{91240B29-F687-4F45-9708-019B960494DF}">
                <a14:hiddenLine xmlns:a14="http://schemas.microsoft.com/office/drawing/2010/main" w="9525" cmpd="sng">
                  <a:solidFill>
                    <a:schemeClr val="lt1">
                      <a:shade val="50000"/>
                    </a:schemeClr>
                  </a:solidFill>
                </a14:hiddenLine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none" lIns="0" tIns="0" rIns="36000" bIns="7200" rtlCol="0" anchor="t">
              <a:spAutoFit/>
            </a:bodyPr>
            <a:lstStyle/>
            <a:p>
              <a:r>
                <a:rPr lang="en-US" altLang="zh-TW" sz="1200" b="1">
                  <a:latin typeface="新細明體"/>
                  <a:ea typeface="新細明體"/>
                </a:rPr>
                <a:t>32</a:t>
              </a:r>
              <a:endParaRPr lang="zh-TW" altLang="en-US" sz="1200" b="1">
                <a:latin typeface="新細明體"/>
                <a:ea typeface="新細明體"/>
              </a:endParaRPr>
            </a:p>
          </xdr:txBody>
        </xdr:sp>
      </xdr:grpSp>
    </xdr:grpSp>
    <xdr:clientData/>
  </xdr:twoCellAnchor>
  <xdr:twoCellAnchor>
    <xdr:from>
      <xdr:col>9</xdr:col>
      <xdr:colOff>180499</xdr:colOff>
      <xdr:row>11</xdr:row>
      <xdr:rowOff>79007</xdr:rowOff>
    </xdr:from>
    <xdr:to>
      <xdr:col>9</xdr:col>
      <xdr:colOff>1073256</xdr:colOff>
      <xdr:row>12</xdr:row>
      <xdr:rowOff>4315</xdr:rowOff>
    </xdr:to>
    <xdr:grpSp>
      <xdr:nvGrpSpPr>
        <xdr:cNvPr id="135" name="群組 134"/>
        <xdr:cNvGrpSpPr/>
      </xdr:nvGrpSpPr>
      <xdr:grpSpPr>
        <a:xfrm>
          <a:off x="1266349" y="4584332"/>
          <a:ext cx="892757" cy="553958"/>
          <a:chOff x="1323499" y="28930232"/>
          <a:chExt cx="892757" cy="573008"/>
        </a:xfrm>
      </xdr:grpSpPr>
      <xdr:sp macro="" textlink="">
        <xdr:nvSpPr>
          <xdr:cNvPr id="136" name="文字方塊 135"/>
          <xdr:cNvSpPr txBox="1"/>
        </xdr:nvSpPr>
        <xdr:spPr>
          <a:xfrm>
            <a:off x="1363377" y="28950285"/>
            <a:ext cx="108807" cy="207325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36000" bIns="7200" rtlCol="0" anchor="t">
            <a:spAutoFit/>
          </a:bodyPr>
          <a:lstStyle/>
          <a:p>
            <a:r>
              <a:rPr lang="en-US" altLang="zh-TW" sz="1200" b="1">
                <a:latin typeface="新細明體"/>
                <a:ea typeface="新細明體"/>
              </a:rPr>
              <a:t>8</a:t>
            </a:r>
            <a:endParaRPr lang="zh-TW" altLang="en-US" sz="1200" b="1">
              <a:latin typeface="新細明體"/>
              <a:ea typeface="新細明體"/>
            </a:endParaRPr>
          </a:p>
        </xdr:txBody>
      </xdr:sp>
      <xdr:sp macro="" textlink="">
        <xdr:nvSpPr>
          <xdr:cNvPr id="137" name="文字方塊 136"/>
          <xdr:cNvSpPr txBox="1"/>
        </xdr:nvSpPr>
        <xdr:spPr>
          <a:xfrm>
            <a:off x="1647776" y="28950285"/>
            <a:ext cx="181263" cy="16586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36000" bIns="7200" rtlCol="0" anchor="t">
            <a:spAutoFit/>
          </a:bodyPr>
          <a:lstStyle/>
          <a:p>
            <a:r>
              <a:rPr lang="en-US" altLang="zh-TW" sz="1200" b="1">
                <a:latin typeface="新細明體"/>
                <a:ea typeface="新細明體"/>
              </a:rPr>
              <a:t>20</a:t>
            </a:r>
            <a:endParaRPr lang="zh-TW" altLang="en-US" sz="1200" b="1">
              <a:latin typeface="新細明體"/>
              <a:ea typeface="新細明體"/>
            </a:endParaRPr>
          </a:p>
        </xdr:txBody>
      </xdr:sp>
      <xdr:sp macro="" textlink="">
        <xdr:nvSpPr>
          <xdr:cNvPr id="138" name="文字方塊 137"/>
          <xdr:cNvSpPr txBox="1"/>
        </xdr:nvSpPr>
        <xdr:spPr>
          <a:xfrm>
            <a:off x="1951294" y="28930232"/>
            <a:ext cx="108807" cy="207325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36000" bIns="7200" rtlCol="0" anchor="t">
            <a:spAutoFit/>
          </a:bodyPr>
          <a:lstStyle/>
          <a:p>
            <a:r>
              <a:rPr lang="en-US" altLang="zh-TW" sz="1200" b="1">
                <a:latin typeface="新細明體"/>
                <a:ea typeface="新細明體"/>
              </a:rPr>
              <a:t>8</a:t>
            </a:r>
            <a:endParaRPr lang="zh-TW" altLang="en-US" sz="1200" b="1">
              <a:latin typeface="新細明體"/>
              <a:ea typeface="新細明體"/>
            </a:endParaRPr>
          </a:p>
        </xdr:txBody>
      </xdr:sp>
      <xdr:grpSp>
        <xdr:nvGrpSpPr>
          <xdr:cNvPr id="139" name="群組 138"/>
          <xdr:cNvGrpSpPr/>
        </xdr:nvGrpSpPr>
        <xdr:grpSpPr>
          <a:xfrm>
            <a:off x="1323499" y="28950285"/>
            <a:ext cx="892757" cy="552955"/>
            <a:chOff x="1333024" y="28950285"/>
            <a:chExt cx="892757" cy="552955"/>
          </a:xfrm>
        </xdr:grpSpPr>
        <xdr:grpSp>
          <xdr:nvGrpSpPr>
            <xdr:cNvPr id="140" name="群組 139"/>
            <xdr:cNvGrpSpPr/>
          </xdr:nvGrpSpPr>
          <xdr:grpSpPr>
            <a:xfrm>
              <a:off x="1333024" y="28950285"/>
              <a:ext cx="824389" cy="552955"/>
              <a:chOff x="1361599" y="12633960"/>
              <a:chExt cx="824389" cy="552955"/>
            </a:xfrm>
          </xdr:grpSpPr>
          <xdr:grpSp>
            <xdr:nvGrpSpPr>
              <xdr:cNvPr id="142" name="群組 141"/>
              <xdr:cNvGrpSpPr/>
            </xdr:nvGrpSpPr>
            <xdr:grpSpPr>
              <a:xfrm>
                <a:off x="1361599" y="12633960"/>
                <a:ext cx="824389" cy="438150"/>
                <a:chOff x="1333024" y="7871460"/>
                <a:chExt cx="824389" cy="640080"/>
              </a:xfrm>
            </xdr:grpSpPr>
            <xdr:cxnSp macro="">
              <xdr:nvCxnSpPr>
                <xdr:cNvPr id="144" name="直線接點 143"/>
                <xdr:cNvCxnSpPr/>
              </xdr:nvCxnSpPr>
              <xdr:spPr>
                <a:xfrm flipV="1">
                  <a:off x="1333024" y="8335518"/>
                  <a:ext cx="215360" cy="176022"/>
                </a:xfrm>
                <a:prstGeom prst="line">
                  <a:avLst/>
                </a:prstGeom>
                <a:ln w="12700">
                  <a:solidFill>
                    <a:srgbClr xmlns:mc="http://schemas.openxmlformats.org/markup-compatibility/2006" xmlns:a14="http://schemas.microsoft.com/office/drawing/2010/main" val="000000" mc:Ignorable="a14" a14:legacySpreadsheetColorIndex="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45" name="直線接點 144"/>
                <xdr:cNvCxnSpPr/>
              </xdr:nvCxnSpPr>
              <xdr:spPr>
                <a:xfrm flipV="1">
                  <a:off x="1548384" y="7871460"/>
                  <a:ext cx="0" cy="464058"/>
                </a:xfrm>
                <a:prstGeom prst="line">
                  <a:avLst/>
                </a:prstGeom>
                <a:ln w="12700">
                  <a:solidFill>
                    <a:srgbClr xmlns:mc="http://schemas.openxmlformats.org/markup-compatibility/2006" xmlns:a14="http://schemas.microsoft.com/office/drawing/2010/main" val="000000" mc:Ignorable="a14" a14:legacySpreadsheetColorIndex="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46" name="直線接點 145"/>
                <xdr:cNvCxnSpPr/>
              </xdr:nvCxnSpPr>
              <xdr:spPr>
                <a:xfrm>
                  <a:off x="1548384" y="7871460"/>
                  <a:ext cx="380048" cy="0"/>
                </a:xfrm>
                <a:prstGeom prst="line">
                  <a:avLst/>
                </a:prstGeom>
                <a:ln w="12700">
                  <a:solidFill>
                    <a:srgbClr xmlns:mc="http://schemas.openxmlformats.org/markup-compatibility/2006" xmlns:a14="http://schemas.microsoft.com/office/drawing/2010/main" val="000000" mc:Ignorable="a14" a14:legacySpreadsheetColorIndex="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47" name="直線接點 146"/>
                <xdr:cNvCxnSpPr/>
              </xdr:nvCxnSpPr>
              <xdr:spPr>
                <a:xfrm>
                  <a:off x="1928432" y="7871460"/>
                  <a:ext cx="0" cy="464058"/>
                </a:xfrm>
                <a:prstGeom prst="line">
                  <a:avLst/>
                </a:prstGeom>
                <a:ln w="12700">
                  <a:solidFill>
                    <a:srgbClr xmlns:mc="http://schemas.openxmlformats.org/markup-compatibility/2006" xmlns:a14="http://schemas.microsoft.com/office/drawing/2010/main" val="000000" mc:Ignorable="a14" a14:legacySpreadsheetColorIndex="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48" name="直線接點 147"/>
                <xdr:cNvCxnSpPr/>
              </xdr:nvCxnSpPr>
              <xdr:spPr>
                <a:xfrm flipV="1">
                  <a:off x="1928430" y="8123318"/>
                  <a:ext cx="228983" cy="212203"/>
                </a:xfrm>
                <a:prstGeom prst="line">
                  <a:avLst/>
                </a:prstGeom>
                <a:ln w="12700">
                  <a:solidFill>
                    <a:srgbClr xmlns:mc="http://schemas.openxmlformats.org/markup-compatibility/2006" xmlns:a14="http://schemas.microsoft.com/office/drawing/2010/main" val="000000" mc:Ignorable="a14" a14:legacySpreadsheetColorIndex="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43" name="文字方塊 142"/>
              <xdr:cNvSpPr txBox="1"/>
            </xdr:nvSpPr>
            <xdr:spPr>
              <a:xfrm>
                <a:off x="1494806" y="12979590"/>
                <a:ext cx="181263" cy="207325"/>
              </a:xfrm>
              <a:prstGeom prst="rect">
                <a:avLst/>
              </a:prstGeom>
              <a:noFill/>
              <a:ln w="9525" cmpd="sng">
                <a:noFill/>
              </a:ln>
              <a:effectLst/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  <a:ext uri="{91240B29-F687-4F45-9708-019B960494DF}">
                  <a14:hiddenLine xmlns:a14="http://schemas.microsoft.com/office/drawing/2010/main" w="9525" cmpd="sng">
                    <a:solidFill>
                      <a:schemeClr val="lt1">
                        <a:shade val="50000"/>
                      </a:schemeClr>
                    </a:solidFill>
                  </a14:hiddenLine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vert="horz" wrap="none" lIns="0" tIns="0" rIns="36000" bIns="7200" rtlCol="0" anchor="t">
                <a:spAutoFit/>
              </a:bodyPr>
              <a:lstStyle/>
              <a:p>
                <a:r>
                  <a:rPr lang="en-US" altLang="zh-TW" sz="1200" b="1">
                    <a:latin typeface="新細明體"/>
                    <a:ea typeface="新細明體"/>
                  </a:rPr>
                  <a:t>32</a:t>
                </a:r>
                <a:endParaRPr lang="zh-TW" altLang="en-US" sz="1200" b="1">
                  <a:latin typeface="新細明體"/>
                  <a:ea typeface="新細明體"/>
                </a:endParaRPr>
              </a:p>
            </xdr:txBody>
          </xdr:sp>
        </xdr:grpSp>
        <xdr:sp macro="" textlink="">
          <xdr:nvSpPr>
            <xdr:cNvPr id="141" name="文字方塊 140"/>
            <xdr:cNvSpPr txBox="1"/>
          </xdr:nvSpPr>
          <xdr:spPr>
            <a:xfrm>
              <a:off x="2044518" y="29173611"/>
              <a:ext cx="181263" cy="207325"/>
            </a:xfrm>
            <a:prstGeom prst="rect">
              <a:avLst/>
            </a:prstGeom>
            <a:noFill/>
            <a:ln w="9525" cmpd="sng"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  <a:ext uri="{91240B29-F687-4F45-9708-019B960494DF}">
                <a14:hiddenLine xmlns:a14="http://schemas.microsoft.com/office/drawing/2010/main" w="9525" cmpd="sng">
                  <a:solidFill>
                    <a:schemeClr val="lt1">
                      <a:shade val="50000"/>
                    </a:schemeClr>
                  </a:solidFill>
                </a14:hiddenLine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none" lIns="0" tIns="0" rIns="36000" bIns="7200" rtlCol="0" anchor="t">
              <a:spAutoFit/>
            </a:bodyPr>
            <a:lstStyle/>
            <a:p>
              <a:r>
                <a:rPr lang="en-US" altLang="zh-TW" sz="1200" b="1">
                  <a:latin typeface="新細明體"/>
                  <a:ea typeface="新細明體"/>
                </a:rPr>
                <a:t>32</a:t>
              </a:r>
              <a:endParaRPr lang="zh-TW" altLang="en-US" sz="1200" b="1">
                <a:latin typeface="新細明體"/>
                <a:ea typeface="新細明體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tabSelected="1" view="pageBreakPreview" zoomScaleNormal="100" zoomScaleSheetLayoutView="100" workbookViewId="0">
      <selection sqref="A1:R1"/>
    </sheetView>
  </sheetViews>
  <sheetFormatPr defaultColWidth="9.7109375" defaultRowHeight="35.1" customHeight="1"/>
  <cols>
    <col min="1" max="1" width="7.7109375" style="2" customWidth="1"/>
    <col min="2" max="2" width="8.5703125" style="10" customWidth="1"/>
    <col min="3" max="9" width="7.5703125" style="2" hidden="1" customWidth="1"/>
    <col min="10" max="10" width="22.7109375" style="2" customWidth="1"/>
    <col min="11" max="11" width="1.5703125" style="2" hidden="1" customWidth="1"/>
    <col min="12" max="12" width="14.7109375" style="11" customWidth="1"/>
    <col min="13" max="14" width="14.7109375" style="2" customWidth="1"/>
    <col min="15" max="16" width="12.140625" style="2" hidden="1" customWidth="1"/>
    <col min="17" max="17" width="12.140625" style="11" hidden="1" customWidth="1"/>
    <col min="18" max="18" width="14.7109375" style="2" customWidth="1"/>
    <col min="19" max="19" width="24.28515625" style="2" customWidth="1"/>
    <col min="20" max="23" width="10.28515625" style="2" customWidth="1"/>
    <col min="24" max="25" width="10.140625" style="2" customWidth="1"/>
    <col min="26" max="26" width="9.7109375" style="2"/>
    <col min="27" max="52" width="9.7109375" style="2" customWidth="1"/>
    <col min="53" max="16384" width="9.7109375" style="2"/>
  </cols>
  <sheetData>
    <row r="1" spans="1:20" ht="24.95" customHeight="1">
      <c r="A1" s="30" t="s">
        <v>11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1"/>
    </row>
    <row r="2" spans="1:20" s="5" customFormat="1" ht="20.100000000000001" customHeight="1">
      <c r="A2" s="18" t="s">
        <v>12</v>
      </c>
      <c r="B2" s="19"/>
      <c r="C2" s="18"/>
      <c r="D2" s="18"/>
      <c r="E2" s="18"/>
      <c r="F2" s="18"/>
      <c r="G2" s="18"/>
      <c r="H2" s="18"/>
      <c r="I2" s="18"/>
      <c r="J2" s="18"/>
      <c r="K2" s="18"/>
      <c r="L2" s="18"/>
      <c r="M2" s="3" t="s">
        <v>13</v>
      </c>
      <c r="N2" s="31"/>
      <c r="O2" s="31"/>
      <c r="P2" s="31"/>
      <c r="Q2" s="31"/>
      <c r="R2" s="31"/>
      <c r="S2" s="4"/>
    </row>
    <row r="3" spans="1:20" s="8" customFormat="1" ht="20.100000000000001" customHeight="1">
      <c r="A3" s="12" t="s">
        <v>14</v>
      </c>
      <c r="B3" s="12" t="s">
        <v>15</v>
      </c>
      <c r="C3" s="12"/>
      <c r="D3" s="12"/>
      <c r="E3" s="12"/>
      <c r="F3" s="12"/>
      <c r="G3" s="12"/>
      <c r="H3" s="13"/>
      <c r="I3" s="13"/>
      <c r="J3" s="12" t="s">
        <v>16</v>
      </c>
      <c r="K3" s="12"/>
      <c r="L3" s="14" t="s">
        <v>17</v>
      </c>
      <c r="M3" s="12" t="s">
        <v>18</v>
      </c>
      <c r="N3" s="12" t="s">
        <v>19</v>
      </c>
      <c r="O3" s="6"/>
      <c r="P3" s="7"/>
      <c r="Q3" s="20"/>
      <c r="R3" s="12" t="s">
        <v>20</v>
      </c>
      <c r="S3" s="26" t="s">
        <v>23</v>
      </c>
    </row>
    <row r="4" spans="1:20" ht="35.1" customHeight="1">
      <c r="A4" s="12">
        <v>1</v>
      </c>
      <c r="B4" s="12" t="s">
        <v>24</v>
      </c>
      <c r="C4" s="16"/>
      <c r="D4" s="16"/>
      <c r="E4" s="16"/>
      <c r="F4" s="16"/>
      <c r="G4" s="16"/>
      <c r="H4" s="15"/>
      <c r="I4" s="15"/>
      <c r="J4" s="16"/>
      <c r="K4" s="16"/>
      <c r="L4" s="22">
        <v>214</v>
      </c>
      <c r="M4" s="23">
        <v>10</v>
      </c>
      <c r="N4" s="23">
        <f t="shared" ref="N4:N12" si="0">ROUND(L4*M4*VLOOKUP(B4,weight,2,FALSE)/100,0)</f>
        <v>21</v>
      </c>
      <c r="O4" s="9"/>
      <c r="P4" s="9"/>
      <c r="Q4" s="21"/>
      <c r="R4" s="17"/>
    </row>
    <row r="5" spans="1:20" ht="35.1" customHeight="1">
      <c r="A5" s="12">
        <v>2</v>
      </c>
      <c r="B5" s="12" t="s">
        <v>24</v>
      </c>
      <c r="C5" s="16"/>
      <c r="D5" s="16"/>
      <c r="E5" s="16"/>
      <c r="F5" s="16"/>
      <c r="G5" s="16"/>
      <c r="H5" s="15"/>
      <c r="I5" s="15"/>
      <c r="J5" s="16"/>
      <c r="K5" s="16"/>
      <c r="L5" s="22">
        <v>214</v>
      </c>
      <c r="M5" s="23">
        <v>10</v>
      </c>
      <c r="N5" s="23">
        <f t="shared" si="0"/>
        <v>21</v>
      </c>
      <c r="O5" s="9"/>
      <c r="P5" s="9"/>
      <c r="Q5" s="21"/>
      <c r="R5" s="17"/>
    </row>
    <row r="6" spans="1:20" ht="35.1" customHeight="1">
      <c r="A6" s="12">
        <v>3</v>
      </c>
      <c r="B6" s="12" t="s">
        <v>24</v>
      </c>
      <c r="C6" s="16"/>
      <c r="D6" s="16"/>
      <c r="E6" s="16"/>
      <c r="F6" s="16"/>
      <c r="G6" s="16"/>
      <c r="H6" s="15"/>
      <c r="I6" s="15"/>
      <c r="J6" s="16"/>
      <c r="K6" s="16"/>
      <c r="L6" s="22">
        <v>214</v>
      </c>
      <c r="M6" s="23">
        <v>10</v>
      </c>
      <c r="N6" s="23">
        <f t="shared" si="0"/>
        <v>21</v>
      </c>
      <c r="O6" s="9"/>
      <c r="P6" s="9"/>
      <c r="Q6" s="21"/>
      <c r="R6" s="17"/>
    </row>
    <row r="7" spans="1:20" ht="35.1" customHeight="1">
      <c r="A7" s="12">
        <v>4</v>
      </c>
      <c r="B7" s="12" t="s">
        <v>24</v>
      </c>
      <c r="C7" s="16"/>
      <c r="D7" s="16"/>
      <c r="E7" s="16"/>
      <c r="F7" s="16"/>
      <c r="G7" s="16"/>
      <c r="H7" s="15"/>
      <c r="I7" s="15"/>
      <c r="J7" s="16"/>
      <c r="K7" s="16"/>
      <c r="L7" s="22">
        <v>214</v>
      </c>
      <c r="M7" s="23">
        <v>10</v>
      </c>
      <c r="N7" s="23">
        <f t="shared" si="0"/>
        <v>21</v>
      </c>
      <c r="O7" s="9"/>
      <c r="P7" s="9"/>
      <c r="Q7" s="21"/>
      <c r="R7" s="17"/>
    </row>
    <row r="8" spans="1:20" ht="35.1" customHeight="1">
      <c r="A8" s="12">
        <v>5</v>
      </c>
      <c r="B8" s="12" t="s">
        <v>25</v>
      </c>
      <c r="C8" s="16"/>
      <c r="D8" s="16"/>
      <c r="E8" s="16"/>
      <c r="F8" s="16"/>
      <c r="G8" s="16"/>
      <c r="H8" s="15"/>
      <c r="I8" s="15"/>
      <c r="J8" s="16"/>
      <c r="K8" s="16"/>
      <c r="L8" s="22">
        <v>325</v>
      </c>
      <c r="M8" s="23">
        <v>5</v>
      </c>
      <c r="N8" s="23">
        <f t="shared" si="0"/>
        <v>65</v>
      </c>
      <c r="O8" s="9"/>
      <c r="P8" s="9"/>
      <c r="Q8" s="21"/>
      <c r="R8" s="17"/>
    </row>
    <row r="9" spans="1:20" ht="35.1" customHeight="1">
      <c r="A9" s="12">
        <v>6</v>
      </c>
      <c r="B9" s="12" t="s">
        <v>25</v>
      </c>
      <c r="C9" s="16"/>
      <c r="D9" s="16"/>
      <c r="E9" s="16"/>
      <c r="F9" s="16"/>
      <c r="G9" s="16"/>
      <c r="H9" s="15"/>
      <c r="I9" s="15"/>
      <c r="J9" s="16"/>
      <c r="K9" s="16"/>
      <c r="L9" s="22">
        <v>325</v>
      </c>
      <c r="M9" s="23">
        <v>5</v>
      </c>
      <c r="N9" s="23">
        <f t="shared" si="0"/>
        <v>65</v>
      </c>
      <c r="O9" s="9"/>
      <c r="P9" s="9"/>
      <c r="Q9" s="21"/>
      <c r="R9" s="17"/>
    </row>
    <row r="10" spans="1:20" ht="35.1" customHeight="1">
      <c r="A10" s="12">
        <v>7</v>
      </c>
      <c r="B10" s="12" t="s">
        <v>25</v>
      </c>
      <c r="C10" s="16"/>
      <c r="D10" s="16"/>
      <c r="E10" s="16"/>
      <c r="F10" s="16"/>
      <c r="G10" s="16"/>
      <c r="H10" s="15"/>
      <c r="I10" s="15"/>
      <c r="J10" s="16"/>
      <c r="K10" s="16"/>
      <c r="L10" s="22">
        <v>325</v>
      </c>
      <c r="M10" s="23">
        <v>5</v>
      </c>
      <c r="N10" s="23">
        <f t="shared" si="0"/>
        <v>65</v>
      </c>
      <c r="O10" s="9"/>
      <c r="P10" s="9"/>
      <c r="Q10" s="21"/>
      <c r="R10" s="17"/>
    </row>
    <row r="11" spans="1:20" ht="50.1" customHeight="1">
      <c r="A11" s="12">
        <v>8</v>
      </c>
      <c r="B11" s="12" t="s">
        <v>24</v>
      </c>
      <c r="C11" s="16"/>
      <c r="D11" s="16"/>
      <c r="E11" s="16"/>
      <c r="F11" s="16"/>
      <c r="G11" s="16"/>
      <c r="H11" s="15"/>
      <c r="I11" s="15"/>
      <c r="J11" s="16"/>
      <c r="K11" s="16"/>
      <c r="L11" s="22">
        <v>100</v>
      </c>
      <c r="M11" s="23">
        <v>12</v>
      </c>
      <c r="N11" s="23">
        <f t="shared" ref="N11" si="1">ROUND(L11*M11*VLOOKUP(B11,weight,2,FALSE)/100,0)</f>
        <v>12</v>
      </c>
      <c r="O11" s="9"/>
      <c r="P11" s="9"/>
      <c r="Q11" s="21"/>
      <c r="R11" s="17"/>
    </row>
    <row r="12" spans="1:20" ht="50.1" customHeight="1">
      <c r="A12" s="12">
        <v>9</v>
      </c>
      <c r="B12" s="12" t="s">
        <v>24</v>
      </c>
      <c r="C12" s="16"/>
      <c r="D12" s="16"/>
      <c r="E12" s="16"/>
      <c r="F12" s="16"/>
      <c r="G12" s="16"/>
      <c r="H12" s="15"/>
      <c r="I12" s="15"/>
      <c r="J12" s="16"/>
      <c r="K12" s="16"/>
      <c r="L12" s="22">
        <v>100</v>
      </c>
      <c r="M12" s="23">
        <v>12</v>
      </c>
      <c r="N12" s="23">
        <f t="shared" si="0"/>
        <v>12</v>
      </c>
      <c r="O12" s="9"/>
      <c r="P12" s="9"/>
      <c r="Q12" s="21"/>
      <c r="R12" s="17"/>
    </row>
    <row r="13" spans="1:20" s="11" customFormat="1" ht="35.1" customHeight="1">
      <c r="A13" s="14"/>
      <c r="B13" s="14"/>
      <c r="C13" s="27"/>
      <c r="D13" s="27"/>
      <c r="E13" s="27"/>
      <c r="F13" s="27"/>
      <c r="G13" s="27"/>
      <c r="H13" s="15"/>
      <c r="I13" s="15"/>
      <c r="J13" s="27"/>
      <c r="K13" s="27"/>
      <c r="L13" s="22"/>
      <c r="M13" s="22"/>
      <c r="N13" s="22"/>
      <c r="O13" s="28"/>
      <c r="P13" s="28"/>
      <c r="Q13" s="21"/>
      <c r="R13" s="29"/>
    </row>
    <row r="14" spans="1:20" ht="35.1" customHeight="1">
      <c r="A14" s="12"/>
      <c r="B14" s="12"/>
      <c r="C14" s="16"/>
      <c r="D14" s="16"/>
      <c r="E14" s="16"/>
      <c r="F14" s="16"/>
      <c r="G14" s="16"/>
      <c r="H14" s="15"/>
      <c r="I14" s="15"/>
      <c r="J14" s="16"/>
      <c r="K14" s="16"/>
      <c r="L14" s="22" t="s">
        <v>26</v>
      </c>
      <c r="M14" s="24" t="s">
        <v>22</v>
      </c>
      <c r="N14" s="24">
        <f>SUMIF(B$4:B$13,"=#8",N$4:N$13)</f>
        <v>195</v>
      </c>
      <c r="O14" s="9"/>
      <c r="P14" s="9"/>
      <c r="Q14" s="21"/>
      <c r="R14" s="17"/>
      <c r="S14" s="25"/>
      <c r="T14" s="25"/>
    </row>
    <row r="15" spans="1:20" ht="35.1" customHeight="1">
      <c r="A15" s="12"/>
      <c r="B15" s="12"/>
      <c r="C15" s="16"/>
      <c r="D15" s="16"/>
      <c r="E15" s="16"/>
      <c r="F15" s="16"/>
      <c r="G15" s="16"/>
      <c r="H15" s="15"/>
      <c r="I15" s="15"/>
      <c r="J15" s="16"/>
      <c r="K15" s="16"/>
      <c r="L15" s="22" t="s">
        <v>27</v>
      </c>
      <c r="M15" s="24" t="s">
        <v>22</v>
      </c>
      <c r="N15" s="24">
        <f>SUMIF(B$4:B$13,"=#4",N$4:N$13)</f>
        <v>108</v>
      </c>
      <c r="O15" s="9"/>
      <c r="P15" s="9"/>
      <c r="Q15" s="21"/>
      <c r="R15" s="17"/>
      <c r="S15" s="25">
        <f>SUM(N$14:Q$15) - SUM(N$4:N$13)</f>
        <v>0</v>
      </c>
      <c r="T15" s="25"/>
    </row>
    <row r="16" spans="1:20" ht="35.1" customHeight="1">
      <c r="A16" s="12"/>
      <c r="B16" s="12"/>
      <c r="C16" s="16"/>
      <c r="D16" s="16"/>
      <c r="E16" s="16"/>
      <c r="F16" s="16"/>
      <c r="G16" s="16"/>
      <c r="H16" s="15"/>
      <c r="I16" s="15"/>
      <c r="J16" s="16"/>
      <c r="K16" s="16"/>
      <c r="L16" s="22"/>
      <c r="M16" s="24" t="s">
        <v>21</v>
      </c>
      <c r="N16" s="24">
        <f>SUM(N$4:N$13)</f>
        <v>303</v>
      </c>
      <c r="O16" s="9"/>
      <c r="P16" s="9"/>
      <c r="Q16" s="21"/>
      <c r="R16" s="17"/>
    </row>
  </sheetData>
  <mergeCells count="2">
    <mergeCell ref="A1:R1"/>
    <mergeCell ref="N2:R2"/>
  </mergeCells>
  <phoneticPr fontId="1" type="noConversion"/>
  <printOptions horizontalCentered="1"/>
  <pageMargins left="0.31496062992125984" right="0.31496062992125984" top="0.19685039370078741" bottom="0.59055118110236227" header="0" footer="0.23622047244094491"/>
  <pageSetup paperSize="9" orientation="portrait" r:id="rId1"/>
  <headerFooter alignWithMargins="0">
    <oddFooter>&amp;R&amp;"細明體,標準"第&amp;"Arial,標準" &amp;P &amp;"細明體,標準"頁，共&amp;"Arial,標準" &amp;N &amp;"細明體,標準"頁
&amp;"Arial,標準"&amp;D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D4:E14"/>
  <sheetViews>
    <sheetView zoomScale="200" workbookViewId="0">
      <selection activeCell="E9" sqref="E9"/>
    </sheetView>
  </sheetViews>
  <sheetFormatPr defaultRowHeight="12.75"/>
  <sheetData>
    <row r="4" spans="4:5">
      <c r="D4" t="s">
        <v>0</v>
      </c>
      <c r="E4">
        <v>6.39</v>
      </c>
    </row>
    <row r="5" spans="4:5">
      <c r="D5" t="s">
        <v>1</v>
      </c>
      <c r="E5">
        <v>7.9</v>
      </c>
    </row>
    <row r="6" spans="4:5">
      <c r="D6" t="s">
        <v>2</v>
      </c>
      <c r="E6">
        <v>9.57</v>
      </c>
    </row>
    <row r="7" spans="4:5">
      <c r="D7" t="s">
        <v>3</v>
      </c>
      <c r="E7">
        <v>0.222</v>
      </c>
    </row>
    <row r="8" spans="4:5">
      <c r="D8" t="s">
        <v>4</v>
      </c>
      <c r="E8">
        <v>0.56000000000000005</v>
      </c>
    </row>
    <row r="9" spans="4:5">
      <c r="D9" t="s">
        <v>5</v>
      </c>
      <c r="E9">
        <v>0.99399999999999999</v>
      </c>
    </row>
    <row r="10" spans="4:5">
      <c r="D10" t="s">
        <v>6</v>
      </c>
      <c r="E10">
        <v>1.56</v>
      </c>
    </row>
    <row r="11" spans="4:5">
      <c r="D11" t="s">
        <v>7</v>
      </c>
      <c r="E11">
        <v>2.25</v>
      </c>
    </row>
    <row r="12" spans="4:5">
      <c r="D12" t="s">
        <v>8</v>
      </c>
      <c r="E12">
        <v>3.04</v>
      </c>
    </row>
    <row r="13" spans="4:5">
      <c r="D13" t="s">
        <v>9</v>
      </c>
      <c r="E13">
        <v>3.98</v>
      </c>
    </row>
    <row r="14" spans="4:5">
      <c r="D14" t="s">
        <v>10</v>
      </c>
      <c r="E14">
        <v>5.08</v>
      </c>
    </row>
  </sheetData>
  <sheetProtection password="CF7A" sheet="1" objects="1" scenarios="1"/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16</vt:i4>
      </vt:variant>
    </vt:vector>
  </HeadingPairs>
  <TitlesOfParts>
    <vt:vector size="18" baseType="lpstr">
      <vt:lpstr>料單</vt:lpstr>
      <vt:lpstr>weight</vt:lpstr>
      <vt:lpstr>_10</vt:lpstr>
      <vt:lpstr>_11</vt:lpstr>
      <vt:lpstr>_12</vt:lpstr>
      <vt:lpstr>_2</vt:lpstr>
      <vt:lpstr>_3</vt:lpstr>
      <vt:lpstr>_4</vt:lpstr>
      <vt:lpstr>_5</vt:lpstr>
      <vt:lpstr>_6</vt:lpstr>
      <vt:lpstr>_7</vt:lpstr>
      <vt:lpstr>_8</vt:lpstr>
      <vt:lpstr>_9</vt:lpstr>
      <vt:lpstr>料單!Print_Area</vt:lpstr>
      <vt:lpstr>料單!Print_Titles</vt:lpstr>
      <vt:lpstr>weight!rebar</vt:lpstr>
      <vt:lpstr>rebar</vt:lpstr>
      <vt:lpstr>weight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</dc:creator>
  <cp:lastModifiedBy>USER</cp:lastModifiedBy>
  <cp:lastPrinted>2017-11-17T02:39:58Z</cp:lastPrinted>
  <dcterms:created xsi:type="dcterms:W3CDTF">2012-05-15T06:44:34Z</dcterms:created>
  <dcterms:modified xsi:type="dcterms:W3CDTF">2025-06-21T00:44:02Z</dcterms:modified>
</cp:coreProperties>
</file>